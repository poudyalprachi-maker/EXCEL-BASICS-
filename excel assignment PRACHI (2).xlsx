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1.xml" ContentType="application/vnd.openxmlformats-officedocument.drawing+xml"/>
  <Override PartName="/xl/tables/table6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88E8F983-BD86-4ED1-BE65-339663F32AD8}" xr6:coauthVersionLast="47" xr6:coauthVersionMax="47" xr10:uidLastSave="{00000000-0000-0000-0000-000000000000}"/>
  <bookViews>
    <workbookView xWindow="-108" yWindow="-108" windowWidth="23256" windowHeight="12456" xr2:uid="{B0563DCC-ABB7-4C96-BB4B-4774A00B40D9}"/>
  </bookViews>
  <sheets>
    <sheet name="QUESTION1" sheetId="1" r:id="rId1"/>
    <sheet name="QUESTION2" sheetId="2" r:id="rId2"/>
    <sheet name="QUESTION3" sheetId="3" r:id="rId3"/>
    <sheet name="QUESTION4" sheetId="4" r:id="rId4"/>
    <sheet name="QUESTION5" sheetId="5" r:id="rId5"/>
    <sheet name="QUESTION6" sheetId="6" r:id="rId6"/>
    <sheet name="QUESTION7" sheetId="7" r:id="rId7"/>
    <sheet name="QUESTION8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8" l="1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4" i="8"/>
  <c r="I4" i="7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50" i="7"/>
  <c r="I51" i="7"/>
  <c r="I52" i="7"/>
  <c r="K6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" i="5"/>
  <c r="L9" i="4"/>
  <c r="B10" i="3"/>
  <c r="B13" i="2"/>
  <c r="C12" i="3"/>
  <c r="L11" i="4"/>
  <c r="O10" i="5" a="1"/>
  <c r="B15" i="2"/>
  <c r="K9" i="6"/>
  <c r="O10" i="5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<sst xmlns="http://schemas.openxmlformats.org/spreadsheetml/2006/main" count="979" uniqueCount="147">
  <si>
    <t>Explain the difference between Relative , Absolute and Mixed Cell Referencing.</t>
  </si>
  <si>
    <t>QUES.1</t>
  </si>
  <si>
    <t>ANSWER-</t>
  </si>
  <si>
    <t>1. Relative Cell Reference </t>
  </si>
  <si>
    <t>Relative cell references are the default in Excel. They change automatically when a formula is copied to another cell, maintaining the relative position between cells. There is no dollar ($) sign in the relative reference for the cell.</t>
  </si>
  <si>
    <t>How to Use Relative Cell References in Excel (With Examples)</t>
  </si>
  <si>
    <t>If you refer to cell B1 from cell E1, actually you would be referring to a cell that is 3 columns to the left (E-B = 3) within the same row number 1. </t>
  </si>
  <si>
    <t>When it is copied to other locations present in a worksheet, the relative reference for that location will be changed automatically. </t>
  </si>
  <si>
    <t>Example  </t>
  </si>
  <si>
    <t>2. Absolute Cell Reference </t>
  </si>
  <si>
    <t>When copying or using AutoFill, there are times when the cell reference must stay the same. A column and/or row reference is kept constant using dollar signs. So, to get an absolute reference from a relative, we can use the dollar sign ($) characters.</t>
  </si>
  <si>
    <t>Example:</t>
  </si>
  <si>
    <t>To lock the reference A2, use $A$2 in a formula like =C2/$A$2. When copied to other cells, $A$2 will remain fixed.</t>
  </si>
  <si>
    <t>G2 = C2/$A$2, when copied to G3, G3 becomes = C3/$A$2</t>
  </si>
  <si>
    <t>3. Mixed Cell Reference </t>
  </si>
  <si>
    <t>Mixed references combine relative and absolute references. You can lock either the row or the column, depending on your needs.</t>
  </si>
  <si>
    <t>Here, the Dollar ($) before the row number fixes/locks the row &amp; before the column name fixes/locks the column.</t>
  </si>
  <si>
    <t>When we fix the only row: If we have G2 = C2/A$2 then :</t>
  </si>
  <si>
    <t>We used $ before the row number, so we are locking the only row here. When G2 is copied to G3, G3 = C3/A$2 (not C3/A3) because the row has been fixed already.</t>
  </si>
  <si>
    <t>QUES 2-</t>
  </si>
  <si>
    <t xml:space="preserve">You have the following dataset: </t>
  </si>
  <si>
    <t>VEHICLE</t>
  </si>
  <si>
    <t>PRICE</t>
  </si>
  <si>
    <t>CAR</t>
  </si>
  <si>
    <t>BICYCLE</t>
  </si>
  <si>
    <t>AUTO-RICKSHAW</t>
  </si>
  <si>
    <t>Write a formula to calculate the total sales of Car and Bicyle only only.</t>
  </si>
  <si>
    <t>=</t>
  </si>
  <si>
    <t>Using the data below, write a formula to calculate the average sales of items priced above 100 but less than 300:</t>
  </si>
  <si>
    <t>QUES 3-</t>
  </si>
  <si>
    <t>ITEM</t>
  </si>
  <si>
    <t>SALES</t>
  </si>
  <si>
    <t>ITEM1</t>
  </si>
  <si>
    <t>ITEM2</t>
  </si>
  <si>
    <t>ITEM3</t>
  </si>
  <si>
    <t>FORMULA-</t>
  </si>
  <si>
    <t>OrderID</t>
  </si>
  <si>
    <t>CustomerName</t>
  </si>
  <si>
    <t>Region</t>
  </si>
  <si>
    <t>Product</t>
  </si>
  <si>
    <t>Quantity</t>
  </si>
  <si>
    <t>UnitPrice</t>
  </si>
  <si>
    <t>OrderDate</t>
  </si>
  <si>
    <t>Amit Sharma</t>
  </si>
  <si>
    <t>North</t>
  </si>
  <si>
    <t>Notebook</t>
  </si>
  <si>
    <t>Neha Verma</t>
  </si>
  <si>
    <t>South</t>
  </si>
  <si>
    <t>Pen</t>
  </si>
  <si>
    <t>Rahul Singh</t>
  </si>
  <si>
    <t>East</t>
  </si>
  <si>
    <t>Marker</t>
  </si>
  <si>
    <t>Pooja Mehta</t>
  </si>
  <si>
    <t>West</t>
  </si>
  <si>
    <t>Ankit Jain</t>
  </si>
  <si>
    <t>Pencil</t>
  </si>
  <si>
    <t>Sneha Patel</t>
  </si>
  <si>
    <t>Vikas Gupta</t>
  </si>
  <si>
    <t>Eraser</t>
  </si>
  <si>
    <t>Meera Nair</t>
  </si>
  <si>
    <t>Anjali Rao</t>
  </si>
  <si>
    <t>Manoj Das</t>
  </si>
  <si>
    <t>Ritika Sen</t>
  </si>
  <si>
    <t>Karan Malhotra</t>
  </si>
  <si>
    <t>Aryan Joshi</t>
  </si>
  <si>
    <t>Divya Kapoor</t>
  </si>
  <si>
    <t>Sahil Arora</t>
  </si>
  <si>
    <t>Muskan Jain</t>
  </si>
  <si>
    <t>Rohan Gupta</t>
  </si>
  <si>
    <t>Nidhi Sharma</t>
  </si>
  <si>
    <t>Tarun Verma</t>
  </si>
  <si>
    <t>Simran Kaur</t>
  </si>
  <si>
    <t>Deepak Rao</t>
  </si>
  <si>
    <t>Payal Mehta</t>
  </si>
  <si>
    <t>Aditya Singh</t>
  </si>
  <si>
    <t>Shreya Nair</t>
  </si>
  <si>
    <t>Sanjay Kumar</t>
  </si>
  <si>
    <t>Aarti Sharma</t>
  </si>
  <si>
    <t>Rajesh Patel</t>
  </si>
  <si>
    <t>Preeti Joshi</t>
  </si>
  <si>
    <t>Anurag Mishra</t>
  </si>
  <si>
    <t>Sanya Kapoor</t>
  </si>
  <si>
    <t>Harsh Yadav</t>
  </si>
  <si>
    <t>Kajal Rani</t>
  </si>
  <si>
    <t>Varun Sharma</t>
  </si>
  <si>
    <t>Swati Arora</t>
  </si>
  <si>
    <t>Akhil Jain</t>
  </si>
  <si>
    <t>Priyanka Das</t>
  </si>
  <si>
    <t>Ravi Nair</t>
  </si>
  <si>
    <t>Komal Singh</t>
  </si>
  <si>
    <t>Ayesha Khan</t>
  </si>
  <si>
    <t>Arjun Mehta</t>
  </si>
  <si>
    <t>Sonali Gupta</t>
  </si>
  <si>
    <t>Neeraj Kapoor</t>
  </si>
  <si>
    <t>Shruti Sharma</t>
  </si>
  <si>
    <t>Yash Arora</t>
  </si>
  <si>
    <t>Manish Das</t>
  </si>
  <si>
    <t>Rupal Nair</t>
  </si>
  <si>
    <t>Sonia Verma</t>
  </si>
  <si>
    <t>Kunal Singh</t>
  </si>
  <si>
    <t>Ritika Jain</t>
  </si>
  <si>
    <t>Vivek Malhotra</t>
  </si>
  <si>
    <t>13-01-2024</t>
  </si>
  <si>
    <t>15-01-2024</t>
  </si>
  <si>
    <t>17-01-2024</t>
  </si>
  <si>
    <t>18-01-2024</t>
  </si>
  <si>
    <t>19-01-2024</t>
  </si>
  <si>
    <t>20-01-2024</t>
  </si>
  <si>
    <t>22-01-2024</t>
  </si>
  <si>
    <t>23-01-2024</t>
  </si>
  <si>
    <t>24-01-2024</t>
  </si>
  <si>
    <t>26-01-2024</t>
  </si>
  <si>
    <t>28-01-2024</t>
  </si>
  <si>
    <t>29-01-2024</t>
  </si>
  <si>
    <t>30-01-2024</t>
  </si>
  <si>
    <t>13-02-2024</t>
  </si>
  <si>
    <t>14-02-2024</t>
  </si>
  <si>
    <t>16-02-2024</t>
  </si>
  <si>
    <t>17-02-2024</t>
  </si>
  <si>
    <t>18-02-2024</t>
  </si>
  <si>
    <t>19-02-2024</t>
  </si>
  <si>
    <t>21-02-2024</t>
  </si>
  <si>
    <t>22-02-2024</t>
  </si>
  <si>
    <t>23-02-2024</t>
  </si>
  <si>
    <t>25-02-2024</t>
  </si>
  <si>
    <t>26-02-2024</t>
  </si>
  <si>
    <t>27-02-2024</t>
  </si>
  <si>
    <t>28-02-2024</t>
  </si>
  <si>
    <t>QUES 4-</t>
  </si>
  <si>
    <t>Count how many customer names are recorded.</t>
  </si>
  <si>
    <t>FORMULA</t>
  </si>
  <si>
    <t>Calculate the Total Sales for each row using a formula.</t>
  </si>
  <si>
    <t>QUES 5-</t>
  </si>
  <si>
    <t>TOTAL SALES</t>
  </si>
  <si>
    <t>FORMULA TO CALCULATE TOTAL SALES IS-</t>
  </si>
  <si>
    <t>QUANTITY*UNIT PRICE</t>
  </si>
  <si>
    <t>PRODUCT(F5,G5)</t>
  </si>
  <si>
    <t>Calculate the total sales of Notebooks in the North region only.</t>
  </si>
  <si>
    <t>QUES 6-</t>
  </si>
  <si>
    <t>Total sales of notebooks in the north region only</t>
  </si>
  <si>
    <t xml:space="preserve">FORMULA = </t>
  </si>
  <si>
    <t>Total sales</t>
  </si>
  <si>
    <t>Create a column chart showing total sales by product.</t>
  </si>
  <si>
    <t xml:space="preserve">QUES 7- </t>
  </si>
  <si>
    <t>Answer-</t>
  </si>
  <si>
    <t>Insert a line chart showing daily sales trend.</t>
  </si>
  <si>
    <t>QUES8-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</si>
</sst>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"/>
  </numFmts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4"/>
      <color theme="1"/>
      <name val="Aptos Narrow"/>
      <family val="2"/>
      <scheme val="minor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rgb="FF00000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9" fillId="0" borderId="0"/>
  </cellStyleXfs>
  <cellXfs count="31">
    <xf numFmtId="0" fontId="0" fillId="0" borderId="0" xfId="0"/>
    <xf numFmtId="0" fontId="0" fillId="2" borderId="0" xfId="0" applyFill="1"/>
    <xf numFmtId="0" fontId="2" fillId="2" borderId="0" xfId="0" applyFont="1" applyFill="1"/>
    <xf numFmtId="0" fontId="3" fillId="2" borderId="0" xfId="0" applyFont="1" applyFill="1"/>
    <xf numFmtId="0" fontId="3" fillId="0" borderId="0" xfId="0" applyFont="1"/>
    <xf numFmtId="0" fontId="3" fillId="3" borderId="0" xfId="0" applyFont="1" applyFill="1"/>
    <xf numFmtId="0" fontId="0" fillId="3" borderId="0" xfId="0" applyFill="1"/>
    <xf numFmtId="0" fontId="0" fillId="4" borderId="0" xfId="0" applyFill="1"/>
    <xf numFmtId="0" fontId="3" fillId="4" borderId="0" xfId="0" applyFont="1" applyFill="1"/>
    <xf numFmtId="0" fontId="0" fillId="3" borderId="0" xfId="0" applyFill="1" applyAlignment="1">
      <alignment wrapText="1"/>
    </xf>
    <xf numFmtId="0" fontId="5" fillId="3" borderId="0" xfId="0" applyFont="1" applyFill="1"/>
    <xf numFmtId="0" fontId="5" fillId="4" borderId="0" xfId="0" applyFont="1" applyFill="1"/>
    <xf numFmtId="0" fontId="1" fillId="3" borderId="0" xfId="0" applyFont="1" applyFill="1"/>
    <xf numFmtId="0" fontId="5" fillId="2" borderId="0" xfId="0" applyFont="1" applyFill="1"/>
    <xf numFmtId="0" fontId="5" fillId="0" borderId="0" xfId="0" applyFont="1"/>
    <xf numFmtId="0" fontId="0" fillId="0" borderId="0" xfId="0" applyAlignment="1">
      <alignment horizontal="right"/>
    </xf>
    <xf numFmtId="0" fontId="3" fillId="0" borderId="0" xfId="0" applyFont="1" applyAlignment="1">
      <alignment wrapText="1"/>
    </xf>
    <xf numFmtId="0" fontId="3" fillId="5" borderId="0" xfId="0" applyFont="1" applyFill="1"/>
    <xf numFmtId="0" fontId="3" fillId="5" borderId="0" xfId="0" applyFont="1" applyFill="1" applyAlignment="1">
      <alignment horizontal="center"/>
    </xf>
    <xf numFmtId="0" fontId="0" fillId="7" borderId="0" xfId="0" applyFill="1"/>
    <xf numFmtId="0" fontId="3" fillId="6" borderId="0" xfId="0" applyFont="1" applyFill="1"/>
    <xf numFmtId="0" fontId="3" fillId="7" borderId="0" xfId="0" applyFont="1" applyFill="1"/>
    <xf numFmtId="0" fontId="7" fillId="0" borderId="0" xfId="1" applyFont="1"/>
    <xf numFmtId="0" fontId="8" fillId="0" borderId="0" xfId="1" applyFont="1" applyAlignment="1">
      <alignment horizontal="right"/>
    </xf>
    <xf numFmtId="164" fontId="8" fillId="0" borderId="0" xfId="1" applyNumberFormat="1" applyFont="1" applyAlignment="1">
      <alignment horizontal="right"/>
    </xf>
    <xf numFmtId="0" fontId="3" fillId="8" borderId="0" xfId="0" applyFont="1" applyFill="1"/>
    <xf numFmtId="0" fontId="0" fillId="8" borderId="0" xfId="0" applyFill="1"/>
    <xf numFmtId="0" fontId="0" fillId="9" borderId="0" xfId="0" applyFill="1"/>
    <xf numFmtId="0" fontId="3" fillId="9" borderId="0" xfId="0" applyFont="1" applyFill="1"/>
    <xf numFmtId="0" fontId="8" fillId="0" borderId="0" xfId="1" applyFont="1"/>
    <xf numFmtId="0" fontId="6" fillId="0" borderId="0" xfId="0" applyFont="1"/>
  </cellXfs>
  <cellStyles count="2">
    <cellStyle name="Normal" xfId="0" builtinId="0"/>
    <cellStyle name="Normal 2" xfId="1" xr:uid="{9FFFE5FA-91D5-42F2-B31B-02CE1FB02C6F}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mm\-dd\-yyyy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mm\-dd\-yyyy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mm\-dd\-yyyy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mm\-dd\-yyyy"/>
      <alignment horizontal="right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QUESTION7!$I$2</c:f>
              <c:strCache>
                <c:ptCount val="1"/>
                <c:pt idx="0">
                  <c:v>Total 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QUESTION7!$E$3:$H$52</c15:sqref>
                  </c15:fullRef>
                  <c15:levelRef>
                    <c15:sqref>QUESTION7!$E$3:$E$52</c15:sqref>
                  </c15:levelRef>
                </c:ext>
              </c:extLst>
              <c:f>QUESTION7!$E$3:$E$52</c:f>
              <c:strCache>
                <c:ptCount val="50"/>
                <c:pt idx="0">
                  <c:v>Notebook</c:v>
                </c:pt>
                <c:pt idx="1">
                  <c:v>Pen</c:v>
                </c:pt>
                <c:pt idx="2">
                  <c:v>Marker</c:v>
                </c:pt>
                <c:pt idx="3">
                  <c:v>Notebook</c:v>
                </c:pt>
                <c:pt idx="4">
                  <c:v>Pencil</c:v>
                </c:pt>
                <c:pt idx="5">
                  <c:v>Notebook</c:v>
                </c:pt>
                <c:pt idx="6">
                  <c:v>Eraser</c:v>
                </c:pt>
                <c:pt idx="7">
                  <c:v>Pen</c:v>
                </c:pt>
                <c:pt idx="8">
                  <c:v>Marker</c:v>
                </c:pt>
                <c:pt idx="9">
                  <c:v>Notebook</c:v>
                </c:pt>
                <c:pt idx="10">
                  <c:v>Pencil</c:v>
                </c:pt>
                <c:pt idx="11">
                  <c:v>Eraser</c:v>
                </c:pt>
                <c:pt idx="12">
                  <c:v>Notebook</c:v>
                </c:pt>
                <c:pt idx="13">
                  <c:v>Pen</c:v>
                </c:pt>
                <c:pt idx="14">
                  <c:v>Marker</c:v>
                </c:pt>
                <c:pt idx="15">
                  <c:v>Pencil</c:v>
                </c:pt>
                <c:pt idx="16">
                  <c:v>Eraser</c:v>
                </c:pt>
                <c:pt idx="17">
                  <c:v>Notebook</c:v>
                </c:pt>
                <c:pt idx="18">
                  <c:v>Pen</c:v>
                </c:pt>
                <c:pt idx="19">
                  <c:v>Marker</c:v>
                </c:pt>
                <c:pt idx="20">
                  <c:v>Notebook</c:v>
                </c:pt>
                <c:pt idx="21">
                  <c:v>Pencil</c:v>
                </c:pt>
                <c:pt idx="22">
                  <c:v>Eraser</c:v>
                </c:pt>
                <c:pt idx="23">
                  <c:v>Notebook</c:v>
                </c:pt>
                <c:pt idx="24">
                  <c:v>Pen</c:v>
                </c:pt>
                <c:pt idx="25">
                  <c:v>Marker</c:v>
                </c:pt>
                <c:pt idx="26">
                  <c:v>Pencil</c:v>
                </c:pt>
                <c:pt idx="27">
                  <c:v>Eraser</c:v>
                </c:pt>
                <c:pt idx="28">
                  <c:v>Notebook</c:v>
                </c:pt>
                <c:pt idx="29">
                  <c:v>Pen</c:v>
                </c:pt>
                <c:pt idx="30">
                  <c:v>Marker</c:v>
                </c:pt>
                <c:pt idx="31">
                  <c:v>Pencil</c:v>
                </c:pt>
                <c:pt idx="32">
                  <c:v>Eraser</c:v>
                </c:pt>
                <c:pt idx="33">
                  <c:v>Notebook</c:v>
                </c:pt>
                <c:pt idx="34">
                  <c:v>Pen</c:v>
                </c:pt>
                <c:pt idx="35">
                  <c:v>Marker</c:v>
                </c:pt>
                <c:pt idx="36">
                  <c:v>Pencil</c:v>
                </c:pt>
                <c:pt idx="37">
                  <c:v>Eraser</c:v>
                </c:pt>
                <c:pt idx="38">
                  <c:v>Notebook</c:v>
                </c:pt>
                <c:pt idx="39">
                  <c:v>Pen</c:v>
                </c:pt>
                <c:pt idx="40">
                  <c:v>Marker</c:v>
                </c:pt>
                <c:pt idx="41">
                  <c:v>Pencil</c:v>
                </c:pt>
                <c:pt idx="42">
                  <c:v>Eraser</c:v>
                </c:pt>
                <c:pt idx="43">
                  <c:v>Notebook</c:v>
                </c:pt>
                <c:pt idx="44">
                  <c:v>Pen</c:v>
                </c:pt>
                <c:pt idx="45">
                  <c:v>Marker</c:v>
                </c:pt>
                <c:pt idx="46">
                  <c:v>Pencil</c:v>
                </c:pt>
                <c:pt idx="47">
                  <c:v>Eraser</c:v>
                </c:pt>
                <c:pt idx="48">
                  <c:v>Notebook</c:v>
                </c:pt>
                <c:pt idx="49">
                  <c:v>Pen</c:v>
                </c:pt>
              </c:strCache>
            </c:strRef>
          </c:cat>
          <c:val>
            <c:numRef>
              <c:f>QUESTION7!$I$3:$I$52</c:f>
              <c:numCache>
                <c:formatCode>General</c:formatCode>
                <c:ptCount val="50"/>
                <c:pt idx="0">
                  <c:v>500</c:v>
                </c:pt>
                <c:pt idx="1">
                  <c:v>200</c:v>
                </c:pt>
                <c:pt idx="2">
                  <c:v>375</c:v>
                </c:pt>
                <c:pt idx="3">
                  <c:v>250</c:v>
                </c:pt>
                <c:pt idx="4">
                  <c:v>150</c:v>
                </c:pt>
                <c:pt idx="5">
                  <c:v>600</c:v>
                </c:pt>
                <c:pt idx="6">
                  <c:v>200</c:v>
                </c:pt>
                <c:pt idx="7">
                  <c:v>180</c:v>
                </c:pt>
                <c:pt idx="8">
                  <c:v>550</c:v>
                </c:pt>
                <c:pt idx="9">
                  <c:v>400</c:v>
                </c:pt>
                <c:pt idx="10">
                  <c:v>200</c:v>
                </c:pt>
                <c:pt idx="11">
                  <c:v>280</c:v>
                </c:pt>
                <c:pt idx="12">
                  <c:v>700</c:v>
                </c:pt>
                <c:pt idx="13">
                  <c:v>280</c:v>
                </c:pt>
                <c:pt idx="14">
                  <c:v>300</c:v>
                </c:pt>
                <c:pt idx="15">
                  <c:v>125</c:v>
                </c:pt>
                <c:pt idx="16">
                  <c:v>160</c:v>
                </c:pt>
                <c:pt idx="17">
                  <c:v>500</c:v>
                </c:pt>
                <c:pt idx="18">
                  <c:v>150</c:v>
                </c:pt>
                <c:pt idx="19">
                  <c:v>450</c:v>
                </c:pt>
                <c:pt idx="20">
                  <c:v>450</c:v>
                </c:pt>
                <c:pt idx="21">
                  <c:v>175</c:v>
                </c:pt>
                <c:pt idx="22">
                  <c:v>240</c:v>
                </c:pt>
                <c:pt idx="23">
                  <c:v>550</c:v>
                </c:pt>
                <c:pt idx="24">
                  <c:v>140</c:v>
                </c:pt>
                <c:pt idx="25">
                  <c:v>400</c:v>
                </c:pt>
                <c:pt idx="26">
                  <c:v>110</c:v>
                </c:pt>
                <c:pt idx="27">
                  <c:v>216</c:v>
                </c:pt>
                <c:pt idx="28">
                  <c:v>650</c:v>
                </c:pt>
                <c:pt idx="29">
                  <c:v>320</c:v>
                </c:pt>
                <c:pt idx="30">
                  <c:v>250</c:v>
                </c:pt>
                <c:pt idx="31">
                  <c:v>90</c:v>
                </c:pt>
                <c:pt idx="32">
                  <c:v>176</c:v>
                </c:pt>
                <c:pt idx="33">
                  <c:v>850</c:v>
                </c:pt>
                <c:pt idx="34">
                  <c:v>190</c:v>
                </c:pt>
                <c:pt idx="35">
                  <c:v>375</c:v>
                </c:pt>
                <c:pt idx="36">
                  <c:v>140</c:v>
                </c:pt>
                <c:pt idx="37">
                  <c:v>192</c:v>
                </c:pt>
                <c:pt idx="38">
                  <c:v>800</c:v>
                </c:pt>
                <c:pt idx="39">
                  <c:v>270</c:v>
                </c:pt>
                <c:pt idx="40">
                  <c:v>525</c:v>
                </c:pt>
                <c:pt idx="41">
                  <c:v>150</c:v>
                </c:pt>
                <c:pt idx="42">
                  <c:v>208</c:v>
                </c:pt>
                <c:pt idx="43">
                  <c:v>700</c:v>
                </c:pt>
                <c:pt idx="44">
                  <c:v>200</c:v>
                </c:pt>
                <c:pt idx="45">
                  <c:v>425</c:v>
                </c:pt>
                <c:pt idx="46">
                  <c:v>95</c:v>
                </c:pt>
                <c:pt idx="47">
                  <c:v>256</c:v>
                </c:pt>
                <c:pt idx="48">
                  <c:v>600</c:v>
                </c:pt>
                <c:pt idx="49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4B-413C-A101-FC69ABB765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43206335"/>
        <c:axId val="243200575"/>
      </c:barChart>
      <c:catAx>
        <c:axId val="243206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3200575"/>
        <c:crosses val="autoZero"/>
        <c:auto val="1"/>
        <c:lblAlgn val="ctr"/>
        <c:lblOffset val="100"/>
        <c:noMultiLvlLbl val="0"/>
      </c:catAx>
      <c:valAx>
        <c:axId val="243200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3206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QUESTION8!$I$3</c:f>
              <c:strCache>
                <c:ptCount val="1"/>
                <c:pt idx="0">
                  <c:v>Total sales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cat>
            <c:strRef>
              <c:f>QUESTION8!$H$4:$H$53</c:f>
              <c:strCache>
                <c:ptCount val="50"/>
                <c:pt idx="0">
                  <c:v>01-05-2024</c:v>
                </c:pt>
                <c:pt idx="1">
                  <c:v>06-01-2024</c:v>
                </c:pt>
                <c:pt idx="2">
                  <c:v>07-01-2024</c:v>
                </c:pt>
                <c:pt idx="3">
                  <c:v>08-01-2024</c:v>
                </c:pt>
                <c:pt idx="4">
                  <c:v>10-01-2024</c:v>
                </c:pt>
                <c:pt idx="5">
                  <c:v>11-01-2024</c:v>
                </c:pt>
                <c:pt idx="6">
                  <c:v>13-01-2024</c:v>
                </c:pt>
                <c:pt idx="7">
                  <c:v>15-01-2024</c:v>
                </c:pt>
                <c:pt idx="8">
                  <c:v>17-01-2024</c:v>
                </c:pt>
                <c:pt idx="9">
                  <c:v>18-01-2024</c:v>
                </c:pt>
                <c:pt idx="10">
                  <c:v>19-01-2024</c:v>
                </c:pt>
                <c:pt idx="11">
                  <c:v>20-01-2024</c:v>
                </c:pt>
                <c:pt idx="12">
                  <c:v>22-01-2024</c:v>
                </c:pt>
                <c:pt idx="13">
                  <c:v>23-01-2024</c:v>
                </c:pt>
                <c:pt idx="14">
                  <c:v>24-01-2024</c:v>
                </c:pt>
                <c:pt idx="15">
                  <c:v>26-01-2024</c:v>
                </c:pt>
                <c:pt idx="16">
                  <c:v>28-01-2024</c:v>
                </c:pt>
                <c:pt idx="17">
                  <c:v>29-01-2024</c:v>
                </c:pt>
                <c:pt idx="18">
                  <c:v>30-01-2024</c:v>
                </c:pt>
                <c:pt idx="19">
                  <c:v>01-02-2024</c:v>
                </c:pt>
                <c:pt idx="20">
                  <c:v>02-02-2024</c:v>
                </c:pt>
                <c:pt idx="21">
                  <c:v>03-02-2024</c:v>
                </c:pt>
                <c:pt idx="22">
                  <c:v>04-02-2024</c:v>
                </c:pt>
                <c:pt idx="23">
                  <c:v>06-02-2024</c:v>
                </c:pt>
                <c:pt idx="24">
                  <c:v>07-02-2024</c:v>
                </c:pt>
                <c:pt idx="25">
                  <c:v>08-02-2024</c:v>
                </c:pt>
                <c:pt idx="26">
                  <c:v>09-02-2024</c:v>
                </c:pt>
                <c:pt idx="27">
                  <c:v>10-02-2024</c:v>
                </c:pt>
                <c:pt idx="28">
                  <c:v>12-02-2024</c:v>
                </c:pt>
                <c:pt idx="29">
                  <c:v>13-02-2024</c:v>
                </c:pt>
                <c:pt idx="30">
                  <c:v>14-02-2024</c:v>
                </c:pt>
                <c:pt idx="31">
                  <c:v>16-02-2024</c:v>
                </c:pt>
                <c:pt idx="32">
                  <c:v>17-02-2024</c:v>
                </c:pt>
                <c:pt idx="33">
                  <c:v>18-02-2024</c:v>
                </c:pt>
                <c:pt idx="34">
                  <c:v>19-02-2024</c:v>
                </c:pt>
                <c:pt idx="35">
                  <c:v>21-02-2024</c:v>
                </c:pt>
                <c:pt idx="36">
                  <c:v>22-02-2024</c:v>
                </c:pt>
                <c:pt idx="37">
                  <c:v>23-02-2024</c:v>
                </c:pt>
                <c:pt idx="38">
                  <c:v>25-02-2024</c:v>
                </c:pt>
                <c:pt idx="39">
                  <c:v>26-02-2024</c:v>
                </c:pt>
                <c:pt idx="40">
                  <c:v>27-02-2024</c:v>
                </c:pt>
                <c:pt idx="41">
                  <c:v>28-02-2024</c:v>
                </c:pt>
                <c:pt idx="42">
                  <c:v>01-03-2024</c:v>
                </c:pt>
                <c:pt idx="43">
                  <c:v>02-03-2024</c:v>
                </c:pt>
                <c:pt idx="44">
                  <c:v>03-03-2024</c:v>
                </c:pt>
                <c:pt idx="45">
                  <c:v>04-03-2024</c:v>
                </c:pt>
                <c:pt idx="46">
                  <c:v>05-03-2024</c:v>
                </c:pt>
                <c:pt idx="47">
                  <c:v>06-03-2024</c:v>
                </c:pt>
                <c:pt idx="48">
                  <c:v>07-03-2024</c:v>
                </c:pt>
                <c:pt idx="49">
                  <c:v>08-03-2024</c:v>
                </c:pt>
              </c:strCache>
            </c:strRef>
          </c:cat>
          <c:val>
            <c:numRef>
              <c:f>QUESTION8!$I$4:$I$53</c:f>
              <c:numCache>
                <c:formatCode>General</c:formatCode>
                <c:ptCount val="50"/>
                <c:pt idx="0">
                  <c:v>500</c:v>
                </c:pt>
                <c:pt idx="1">
                  <c:v>200</c:v>
                </c:pt>
                <c:pt idx="2">
                  <c:v>375</c:v>
                </c:pt>
                <c:pt idx="3">
                  <c:v>250</c:v>
                </c:pt>
                <c:pt idx="4">
                  <c:v>150</c:v>
                </c:pt>
                <c:pt idx="5">
                  <c:v>600</c:v>
                </c:pt>
                <c:pt idx="6">
                  <c:v>200</c:v>
                </c:pt>
                <c:pt idx="7">
                  <c:v>180</c:v>
                </c:pt>
                <c:pt idx="8">
                  <c:v>550</c:v>
                </c:pt>
                <c:pt idx="9">
                  <c:v>400</c:v>
                </c:pt>
                <c:pt idx="10">
                  <c:v>200</c:v>
                </c:pt>
                <c:pt idx="11">
                  <c:v>280</c:v>
                </c:pt>
                <c:pt idx="12">
                  <c:v>700</c:v>
                </c:pt>
                <c:pt idx="13">
                  <c:v>280</c:v>
                </c:pt>
                <c:pt idx="14">
                  <c:v>300</c:v>
                </c:pt>
                <c:pt idx="15">
                  <c:v>125</c:v>
                </c:pt>
                <c:pt idx="16">
                  <c:v>160</c:v>
                </c:pt>
                <c:pt idx="17">
                  <c:v>500</c:v>
                </c:pt>
                <c:pt idx="18">
                  <c:v>150</c:v>
                </c:pt>
                <c:pt idx="19">
                  <c:v>450</c:v>
                </c:pt>
                <c:pt idx="20">
                  <c:v>450</c:v>
                </c:pt>
                <c:pt idx="21">
                  <c:v>175</c:v>
                </c:pt>
                <c:pt idx="22">
                  <c:v>240</c:v>
                </c:pt>
                <c:pt idx="23">
                  <c:v>550</c:v>
                </c:pt>
                <c:pt idx="24">
                  <c:v>140</c:v>
                </c:pt>
                <c:pt idx="25">
                  <c:v>400</c:v>
                </c:pt>
                <c:pt idx="26">
                  <c:v>110</c:v>
                </c:pt>
                <c:pt idx="27">
                  <c:v>216</c:v>
                </c:pt>
                <c:pt idx="28">
                  <c:v>650</c:v>
                </c:pt>
                <c:pt idx="29">
                  <c:v>320</c:v>
                </c:pt>
                <c:pt idx="30">
                  <c:v>250</c:v>
                </c:pt>
                <c:pt idx="31">
                  <c:v>90</c:v>
                </c:pt>
                <c:pt idx="32">
                  <c:v>176</c:v>
                </c:pt>
                <c:pt idx="33">
                  <c:v>850</c:v>
                </c:pt>
                <c:pt idx="34">
                  <c:v>190</c:v>
                </c:pt>
                <c:pt idx="35">
                  <c:v>375</c:v>
                </c:pt>
                <c:pt idx="36">
                  <c:v>140</c:v>
                </c:pt>
                <c:pt idx="37">
                  <c:v>192</c:v>
                </c:pt>
                <c:pt idx="38">
                  <c:v>800</c:v>
                </c:pt>
                <c:pt idx="39">
                  <c:v>270</c:v>
                </c:pt>
                <c:pt idx="40">
                  <c:v>525</c:v>
                </c:pt>
                <c:pt idx="41">
                  <c:v>150</c:v>
                </c:pt>
                <c:pt idx="42">
                  <c:v>208</c:v>
                </c:pt>
                <c:pt idx="43">
                  <c:v>700</c:v>
                </c:pt>
                <c:pt idx="44">
                  <c:v>200</c:v>
                </c:pt>
                <c:pt idx="45">
                  <c:v>425</c:v>
                </c:pt>
                <c:pt idx="46">
                  <c:v>95</c:v>
                </c:pt>
                <c:pt idx="47">
                  <c:v>256</c:v>
                </c:pt>
                <c:pt idx="48">
                  <c:v>600</c:v>
                </c:pt>
                <c:pt idx="49">
                  <c:v>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90-4659-A7C1-CB04FF9FDE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963436047"/>
        <c:axId val="912098479"/>
      </c:lineChart>
      <c:catAx>
        <c:axId val="963436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2098479"/>
        <c:crosses val="autoZero"/>
        <c:auto val="1"/>
        <c:lblAlgn val="ctr"/>
        <c:lblOffset val="100"/>
        <c:noMultiLvlLbl val="0"/>
      </c:catAx>
      <c:valAx>
        <c:axId val="9120984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34360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92675</xdr:colOff>
      <xdr:row>1</xdr:row>
      <xdr:rowOff>164756</xdr:rowOff>
    </xdr:from>
    <xdr:to>
      <xdr:col>19</xdr:col>
      <xdr:colOff>556053</xdr:colOff>
      <xdr:row>18</xdr:row>
      <xdr:rowOff>144162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66DCF4E-E93E-1E61-3CBE-91463DB275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22860</xdr:colOff>
      <xdr:row>2</xdr:row>
      <xdr:rowOff>53340</xdr:rowOff>
    </xdr:from>
    <xdr:to>
      <xdr:col>20</xdr:col>
      <xdr:colOff>190500</xdr:colOff>
      <xdr:row>20</xdr:row>
      <xdr:rowOff>160020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B343658-BA26-0122-6780-C297F833EA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B4E349E-3B88-4EB4-9F7F-D6C64BAEC846}" name="Table3" displayName="Table3" ref="B6:C9" headerRowCount="0" totalsRowShown="0">
  <tableColumns count="2">
    <tableColumn id="1" xr3:uid="{44852885-01A1-4542-A764-A5E141781925}" name="Column1"/>
    <tableColumn id="2" xr3:uid="{C9E23422-1CCF-41FD-90FB-61AC58824626}" name="Column2"/>
  </tableColumns>
  <tableStyleInfo name="TableStyleMedium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A4672F6-8F8B-4B44-AA80-BED908D90192}" name="Table4" displayName="Table4" ref="E5:G8" totalsRowShown="0">
  <autoFilter ref="E5:G8" xr:uid="{1A4672F6-8F8B-4B44-AA80-BED908D90192}"/>
  <tableColumns count="3">
    <tableColumn id="1" xr3:uid="{73DBE3D9-5C18-4119-B75F-0C796AB1A632}" name="ITEM"/>
    <tableColumn id="2" xr3:uid="{C192F507-8BE3-4374-AF24-D3328DADD181}" name="PRICE"/>
    <tableColumn id="3" xr3:uid="{AFCD3940-20E9-420C-A623-7C15F3183EB5}" name="SALES"/>
  </tableColumns>
  <tableStyleInfo name="TableStyleMedium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8CAEC96-685B-4398-B3AF-48027D24DAC0}" name="Table5" displayName="Table5" ref="B4:H54" totalsRowShown="0">
  <autoFilter ref="B4:H54" xr:uid="{C8CAEC96-685B-4398-B3AF-48027D24DAC0}"/>
  <tableColumns count="7">
    <tableColumn id="1" xr3:uid="{86C51DAB-62C1-4DA3-A3F9-CF069055B11A}" name="OrderID"/>
    <tableColumn id="2" xr3:uid="{B55EBCA3-D76A-4BD5-B5A1-890D14CD73CD}" name="CustomerName"/>
    <tableColumn id="3" xr3:uid="{5B50D435-8F61-4483-BDA5-E4BAEE893D65}" name="Region"/>
    <tableColumn id="4" xr3:uid="{9C593DB1-0FBD-4D66-8274-E1C16B6605AB}" name="Product"/>
    <tableColumn id="5" xr3:uid="{CEF17439-EF74-4139-8F40-5102E82E93D4}" name="Quantity"/>
    <tableColumn id="6" xr3:uid="{FA4A5080-48E4-4BD3-817B-22423BF265E5}" name="UnitPrice"/>
    <tableColumn id="7" xr3:uid="{7F8A40AB-5A2E-4033-A782-3F9963863D41}" name="OrderDate" dataDxfId="11" dataCellStyle="Normal 2"/>
  </tableColumns>
  <tableStyleInfo name="TableStyleMedium2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CF80BD7-9E3D-44CA-9021-79BD7EAFEF18}" name="Table58" displayName="Table58" ref="B4:H54" totalsRowShown="0">
  <autoFilter ref="B4:H54" xr:uid="{1CF80BD7-9E3D-44CA-9021-79BD7EAFEF18}"/>
  <tableColumns count="7">
    <tableColumn id="1" xr3:uid="{3F55C95E-88B3-4B9B-83BB-97B71D39E00F}" name="OrderID"/>
    <tableColumn id="2" xr3:uid="{3466472C-A42D-4678-883E-2CA01C64C6F9}" name="CustomerName"/>
    <tableColumn id="3" xr3:uid="{A2889982-86AC-4758-B787-50475EB14DEF}" name="Region"/>
    <tableColumn id="4" xr3:uid="{06567BF3-B19F-48C5-8939-D983826E88FF}" name="Product"/>
    <tableColumn id="5" xr3:uid="{AE133575-1EDF-4442-B2FC-F07A6B23478C}" name="Quantity"/>
    <tableColumn id="6" xr3:uid="{D494B021-88BF-4841-A6B4-77E2F707AD9B}" name="UnitPrice"/>
    <tableColumn id="7" xr3:uid="{77AB49B5-8201-4970-8811-9D0A92C47944}" name="OrderDate" dataDxfId="10" dataCellStyle="Normal 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B39E8EE-B050-4FA9-ACBD-8F9DA39282DB}" name="Table5810" displayName="Table5810" ref="B4:I54" totalsRowShown="0">
  <autoFilter ref="B4:I54" xr:uid="{7B39E8EE-B050-4FA9-ACBD-8F9DA39282DB}"/>
  <tableColumns count="8">
    <tableColumn id="1" xr3:uid="{15973BDB-BA4D-4237-8528-C6E61B889A56}" name="OrderID"/>
    <tableColumn id="2" xr3:uid="{CB6B7A9A-7B12-4C5C-A4F8-001984F3273F}" name="CustomerName"/>
    <tableColumn id="3" xr3:uid="{833253EB-3754-48BF-B06E-AE07C543DE7E}" name="Region"/>
    <tableColumn id="4" xr3:uid="{0238BE9E-F140-426E-9420-D62C2EB1174F}" name="Product"/>
    <tableColumn id="5" xr3:uid="{83BC74FE-ACF9-411F-9DE4-96CD7D122EA9}" name="Quantity"/>
    <tableColumn id="6" xr3:uid="{DD119154-A8D4-43D3-A18D-18C98649884A}" name="UnitPrice"/>
    <tableColumn id="7" xr3:uid="{39D93D54-E3C7-41F6-A776-BD19BF1B76E0}" name="OrderDate" dataDxfId="9" dataCellStyle="Normal 2"/>
    <tableColumn id="8" xr3:uid="{6648C35A-3F8A-427E-9466-2F9D5C79CF5A}" name="TOTAL SALES" dataDxfId="8">
      <calculatedColumnFormula>PRODUCT(F5,G5)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24488D58-7993-4FBB-BCA7-4A288E41EA12}" name="Table10" displayName="Table10" ref="B2:I52" totalsRowShown="0" headerRowDxfId="7" headerRowCellStyle="Normal 2">
  <autoFilter ref="B2:I52" xr:uid="{24488D58-7993-4FBB-BCA7-4A288E41EA12}"/>
  <tableColumns count="8">
    <tableColumn id="1" xr3:uid="{BA54733A-1842-47B0-BF05-F08E0EEA00E8}" name="OrderID" dataDxfId="6" dataCellStyle="Normal 2"/>
    <tableColumn id="2" xr3:uid="{86CE9722-E3D8-4D9B-9018-C8507A1D8BF3}" name="CustomerName" dataDxfId="5" dataCellStyle="Normal 2"/>
    <tableColumn id="3" xr3:uid="{A3761387-53B6-4468-A35D-4F31F47F5D13}" name="Region" dataDxfId="4" dataCellStyle="Normal 2"/>
    <tableColumn id="4" xr3:uid="{978BA0D5-B09B-4048-82E7-9E655952AC2A}" name="Product" dataDxfId="3" dataCellStyle="Normal 2"/>
    <tableColumn id="5" xr3:uid="{F772A256-8412-4406-9F11-D53EB4331D66}" name="Quantity" dataDxfId="2" dataCellStyle="Normal 2"/>
    <tableColumn id="6" xr3:uid="{BF10A3C2-B89E-4FEC-9DCC-180AD4D541AB}" name="UnitPrice" dataDxfId="1" dataCellStyle="Normal 2"/>
    <tableColumn id="7" xr3:uid="{719E93AE-6795-4C59-AB7C-D2F7D64E54AC}" name="OrderDate" dataDxfId="0" dataCellStyle="Normal 2"/>
    <tableColumn id="8" xr3:uid="{0366A896-C41F-42C5-B607-AFE873F430CE}" name="Total sales">
      <calculatedColumnFormula>PRODUCT(F3,G3)</calculatedColumnFormula>
    </tableColumn>
  </tableColumns>
  <tableStyleInfo name="TableStyleMedium2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D2EA1-0739-44C4-82DF-D8ED17310B5C}">
  <dimension ref="A3:J26"/>
  <sheetViews>
    <sheetView tabSelected="1" zoomScale="60" workbookViewId="0">
      <selection activeCell="A20" sqref="A20"/>
    </sheetView>
  </sheetViews>
  <sheetFormatPr defaultRowHeight="14.4" x14ac:dyDescent="0.3"/>
  <sheetData>
    <row r="3" spans="1:10" ht="18" x14ac:dyDescent="0.35">
      <c r="A3" s="2" t="s">
        <v>1</v>
      </c>
      <c r="B3" s="3" t="s">
        <v>0</v>
      </c>
      <c r="C3" s="1"/>
      <c r="D3" s="1"/>
      <c r="E3" s="1"/>
      <c r="F3" s="1"/>
      <c r="G3" s="1"/>
      <c r="H3" s="8"/>
      <c r="I3" s="7"/>
      <c r="J3" s="7"/>
    </row>
    <row r="5" spans="1:10" ht="18" x14ac:dyDescent="0.35">
      <c r="A5" t="s">
        <v>2</v>
      </c>
      <c r="B5" s="10" t="s">
        <v>3</v>
      </c>
      <c r="C5" s="12"/>
      <c r="D5" s="6"/>
    </row>
    <row r="6" spans="1:10" s="6" customFormat="1" ht="18" x14ac:dyDescent="0.35">
      <c r="A6"/>
      <c r="B6" s="5" t="s">
        <v>4</v>
      </c>
    </row>
    <row r="7" spans="1:10" s="6" customFormat="1" ht="18" x14ac:dyDescent="0.35">
      <c r="A7"/>
      <c r="B7" s="5" t="s">
        <v>5</v>
      </c>
    </row>
    <row r="9" spans="1:10" ht="18" x14ac:dyDescent="0.35">
      <c r="B9" s="11" t="s">
        <v>8</v>
      </c>
    </row>
    <row r="10" spans="1:10" s="6" customFormat="1" ht="18" x14ac:dyDescent="0.35">
      <c r="A10"/>
      <c r="B10" s="5" t="s">
        <v>6</v>
      </c>
      <c r="D10" s="9"/>
    </row>
    <row r="11" spans="1:10" s="6" customFormat="1" ht="18" x14ac:dyDescent="0.35">
      <c r="A11"/>
      <c r="B11" s="5" t="s">
        <v>7</v>
      </c>
    </row>
    <row r="13" spans="1:10" s="10" customFormat="1" ht="18" x14ac:dyDescent="0.35">
      <c r="A13" s="14"/>
      <c r="B13" s="10" t="s">
        <v>9</v>
      </c>
    </row>
    <row r="14" spans="1:10" s="5" customFormat="1" ht="18" x14ac:dyDescent="0.35">
      <c r="A14" s="4"/>
      <c r="B14" s="5" t="s">
        <v>10</v>
      </c>
    </row>
    <row r="16" spans="1:10" s="4" customFormat="1" ht="18" x14ac:dyDescent="0.35">
      <c r="B16" s="13" t="s">
        <v>11</v>
      </c>
    </row>
    <row r="17" spans="1:2" s="5" customFormat="1" ht="18" x14ac:dyDescent="0.35">
      <c r="A17" s="4"/>
      <c r="B17" s="5" t="s">
        <v>12</v>
      </c>
    </row>
    <row r="18" spans="1:2" s="5" customFormat="1" ht="18" x14ac:dyDescent="0.35">
      <c r="A18" s="4"/>
      <c r="B18" s="5" t="s">
        <v>13</v>
      </c>
    </row>
    <row r="20" spans="1:2" s="10" customFormat="1" ht="19.2" customHeight="1" x14ac:dyDescent="0.35">
      <c r="A20" s="14"/>
      <c r="B20" s="10" t="s">
        <v>14</v>
      </c>
    </row>
    <row r="21" spans="1:2" s="5" customFormat="1" ht="18" x14ac:dyDescent="0.35">
      <c r="A21" s="4"/>
      <c r="B21" s="5" t="s">
        <v>15</v>
      </c>
    </row>
    <row r="22" spans="1:2" s="5" customFormat="1" ht="18" x14ac:dyDescent="0.35">
      <c r="A22" s="4"/>
      <c r="B22" s="5" t="s">
        <v>16</v>
      </c>
    </row>
    <row r="23" spans="1:2" s="14" customFormat="1" ht="18" x14ac:dyDescent="0.35"/>
    <row r="24" spans="1:2" s="3" customFormat="1" ht="18" x14ac:dyDescent="0.35">
      <c r="A24" s="4"/>
      <c r="B24" s="3" t="s">
        <v>11</v>
      </c>
    </row>
    <row r="25" spans="1:2" s="5" customFormat="1" ht="18" x14ac:dyDescent="0.35">
      <c r="A25" s="4"/>
      <c r="B25" s="5" t="s">
        <v>17</v>
      </c>
    </row>
    <row r="26" spans="1:2" s="5" customFormat="1" ht="18" x14ac:dyDescent="0.35">
      <c r="A26" s="4"/>
      <c r="B26" s="5" t="s">
        <v>18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10BC4-3F3E-429D-9D05-E3E05D886566}">
  <dimension ref="A3:BX15"/>
  <sheetViews>
    <sheetView zoomScale="103" workbookViewId="0">
      <selection activeCell="C15" sqref="C15"/>
    </sheetView>
  </sheetViews>
  <sheetFormatPr defaultRowHeight="14.4" x14ac:dyDescent="0.3"/>
  <cols>
    <col min="2" max="3" width="10.109375" customWidth="1"/>
  </cols>
  <sheetData>
    <row r="3" spans="1:76" s="5" customFormat="1" ht="18" x14ac:dyDescent="0.35">
      <c r="A3" s="5" t="s">
        <v>19</v>
      </c>
      <c r="B3" s="5" t="s">
        <v>20</v>
      </c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</row>
    <row r="6" spans="1:76" s="4" customFormat="1" ht="18" x14ac:dyDescent="0.35">
      <c r="B6" s="4" t="s">
        <v>21</v>
      </c>
      <c r="C6" s="4" t="s">
        <v>22</v>
      </c>
    </row>
    <row r="7" spans="1:76" s="4" customFormat="1" ht="18" x14ac:dyDescent="0.35">
      <c r="B7" s="4" t="s">
        <v>23</v>
      </c>
      <c r="C7" s="4">
        <v>500000</v>
      </c>
    </row>
    <row r="8" spans="1:76" s="4" customFormat="1" ht="15.6" customHeight="1" x14ac:dyDescent="0.35">
      <c r="B8" s="4" t="s">
        <v>24</v>
      </c>
      <c r="C8" s="4">
        <v>10500</v>
      </c>
    </row>
    <row r="9" spans="1:76" s="4" customFormat="1" ht="54" x14ac:dyDescent="0.35">
      <c r="B9" s="16" t="s">
        <v>25</v>
      </c>
      <c r="C9" s="4">
        <v>25000</v>
      </c>
    </row>
    <row r="11" spans="1:76" s="17" customFormat="1" ht="18" x14ac:dyDescent="0.35">
      <c r="A11" s="4"/>
      <c r="B11" s="17" t="s">
        <v>26</v>
      </c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</row>
    <row r="13" spans="1:76" s="17" customFormat="1" ht="18" x14ac:dyDescent="0.35">
      <c r="A13" s="18" t="s">
        <v>27</v>
      </c>
      <c r="B13" s="17">
        <f>SUMIF(B6:B9,"CAR",C6:C9)+ SUMIF(B6:B9,"BICYCLE",C6:C9)</f>
        <v>510500</v>
      </c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</row>
    <row r="15" spans="1:76" s="5" customFormat="1" ht="18" x14ac:dyDescent="0.35">
      <c r="A15" s="4"/>
      <c r="B15" s="5" t="str">
        <f ca="1">_xlfn.FORMULATEXT(B13)</f>
        <v>=SUMIF(B6:B9,"CAR",C6:C9)+ SUMIF(B6:B9,"BICYCLE",C6:C9)</v>
      </c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D400D-2FE0-41E1-BEAD-A942DFB4439F}">
  <dimension ref="A2:G12"/>
  <sheetViews>
    <sheetView workbookViewId="0">
      <selection activeCell="G18" sqref="G18"/>
    </sheetView>
  </sheetViews>
  <sheetFormatPr defaultRowHeight="14.4" x14ac:dyDescent="0.3"/>
  <cols>
    <col min="2" max="2" width="11.77734375" customWidth="1"/>
  </cols>
  <sheetData>
    <row r="2" spans="1:7" s="4" customFormat="1" ht="18" x14ac:dyDescent="0.35">
      <c r="A2" s="4" t="s">
        <v>29</v>
      </c>
      <c r="B2" s="4" t="s">
        <v>28</v>
      </c>
    </row>
    <row r="5" spans="1:7" x14ac:dyDescent="0.3">
      <c r="E5" t="s">
        <v>30</v>
      </c>
      <c r="F5" t="s">
        <v>22</v>
      </c>
      <c r="G5" t="s">
        <v>31</v>
      </c>
    </row>
    <row r="6" spans="1:7" x14ac:dyDescent="0.3">
      <c r="E6" t="s">
        <v>32</v>
      </c>
      <c r="F6">
        <v>90</v>
      </c>
      <c r="G6">
        <v>1000</v>
      </c>
    </row>
    <row r="7" spans="1:7" x14ac:dyDescent="0.3">
      <c r="E7" t="s">
        <v>33</v>
      </c>
      <c r="F7">
        <v>150</v>
      </c>
      <c r="G7">
        <v>1200</v>
      </c>
    </row>
    <row r="8" spans="1:7" x14ac:dyDescent="0.3">
      <c r="E8" t="s">
        <v>34</v>
      </c>
      <c r="F8">
        <v>250</v>
      </c>
      <c r="G8">
        <v>1500</v>
      </c>
    </row>
    <row r="10" spans="1:7" ht="18" x14ac:dyDescent="0.35">
      <c r="B10" s="20">
        <f>AVERAGEIFS(G5:G8,F5:F8,"&gt;100",F5:F8,"&lt;300")</f>
        <v>1350</v>
      </c>
    </row>
    <row r="12" spans="1:7" s="4" customFormat="1" ht="18" x14ac:dyDescent="0.35">
      <c r="B12" s="20" t="s">
        <v>35</v>
      </c>
      <c r="C12" s="21" t="str">
        <f ca="1">_xlfn.FORMULATEXT(B10)</f>
        <v>=AVERAGEIFS(G5:G8,F5:F8,"&gt;100",F5:F8,"&lt;300")</v>
      </c>
      <c r="D12" s="21"/>
      <c r="E12" s="21"/>
      <c r="F12" s="21"/>
      <c r="G12" s="21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55FAF-1583-4EBC-9A60-2E77540D75A2}">
  <dimension ref="B2:N54"/>
  <sheetViews>
    <sheetView zoomScale="65" workbookViewId="0">
      <selection activeCell="L16" sqref="L16"/>
    </sheetView>
  </sheetViews>
  <sheetFormatPr defaultRowHeight="14.4" x14ac:dyDescent="0.3"/>
  <cols>
    <col min="2" max="2" width="10" customWidth="1"/>
    <col min="3" max="3" width="17.6640625" customWidth="1"/>
    <col min="4" max="4" width="9.5546875" customWidth="1"/>
    <col min="5" max="6" width="10.44140625" customWidth="1"/>
    <col min="7" max="7" width="11.33203125" customWidth="1"/>
    <col min="8" max="8" width="14.5546875" customWidth="1"/>
  </cols>
  <sheetData>
    <row r="2" spans="2:14" s="4" customFormat="1" ht="18" x14ac:dyDescent="0.35">
      <c r="B2" s="4" t="s">
        <v>128</v>
      </c>
      <c r="C2" s="4" t="s">
        <v>129</v>
      </c>
    </row>
    <row r="4" spans="2:14" x14ac:dyDescent="0.3">
      <c r="B4" t="s">
        <v>36</v>
      </c>
      <c r="C4" t="s">
        <v>37</v>
      </c>
      <c r="D4" t="s">
        <v>38</v>
      </c>
      <c r="E4" t="s">
        <v>39</v>
      </c>
      <c r="F4" t="s">
        <v>40</v>
      </c>
      <c r="G4" t="s">
        <v>41</v>
      </c>
      <c r="H4" s="22" t="s">
        <v>42</v>
      </c>
    </row>
    <row r="5" spans="2:14" x14ac:dyDescent="0.3">
      <c r="B5">
        <v>1001</v>
      </c>
      <c r="C5" t="s">
        <v>43</v>
      </c>
      <c r="D5" t="s">
        <v>44</v>
      </c>
      <c r="E5" t="s">
        <v>45</v>
      </c>
      <c r="F5">
        <v>10</v>
      </c>
      <c r="G5">
        <v>50</v>
      </c>
      <c r="H5" s="24">
        <v>45296</v>
      </c>
    </row>
    <row r="6" spans="2:14" x14ac:dyDescent="0.3">
      <c r="B6">
        <v>1002</v>
      </c>
      <c r="C6" t="s">
        <v>46</v>
      </c>
      <c r="D6" t="s">
        <v>47</v>
      </c>
      <c r="E6" t="s">
        <v>48</v>
      </c>
      <c r="F6">
        <v>20</v>
      </c>
      <c r="G6">
        <v>10</v>
      </c>
      <c r="H6" s="24">
        <v>45413</v>
      </c>
    </row>
    <row r="7" spans="2:14" x14ac:dyDescent="0.3">
      <c r="B7">
        <v>1003</v>
      </c>
      <c r="C7" t="s">
        <v>49</v>
      </c>
      <c r="D7" t="s">
        <v>50</v>
      </c>
      <c r="E7" t="s">
        <v>51</v>
      </c>
      <c r="F7">
        <v>15</v>
      </c>
      <c r="G7">
        <v>25</v>
      </c>
      <c r="H7" s="24">
        <v>45413</v>
      </c>
    </row>
    <row r="8" spans="2:14" x14ac:dyDescent="0.3">
      <c r="B8">
        <v>1004</v>
      </c>
      <c r="C8" t="s">
        <v>52</v>
      </c>
      <c r="D8" t="s">
        <v>53</v>
      </c>
      <c r="E8" t="s">
        <v>45</v>
      </c>
      <c r="F8">
        <v>5</v>
      </c>
      <c r="G8">
        <v>50</v>
      </c>
      <c r="H8" s="24">
        <v>45413</v>
      </c>
    </row>
    <row r="9" spans="2:14" ht="18" x14ac:dyDescent="0.35">
      <c r="B9">
        <v>1005</v>
      </c>
      <c r="C9" t="s">
        <v>54</v>
      </c>
      <c r="D9" t="s">
        <v>44</v>
      </c>
      <c r="E9" t="s">
        <v>55</v>
      </c>
      <c r="F9">
        <v>30</v>
      </c>
      <c r="G9">
        <v>5</v>
      </c>
      <c r="H9" s="24">
        <v>45413</v>
      </c>
      <c r="J9" s="21" t="s">
        <v>2</v>
      </c>
      <c r="K9" s="19"/>
      <c r="L9" s="25">
        <f>COUNTA(B5:B54)</f>
        <v>50</v>
      </c>
    </row>
    <row r="10" spans="2:14" x14ac:dyDescent="0.3">
      <c r="B10">
        <v>1006</v>
      </c>
      <c r="C10" t="s">
        <v>56</v>
      </c>
      <c r="D10" t="s">
        <v>47</v>
      </c>
      <c r="E10" t="s">
        <v>45</v>
      </c>
      <c r="F10">
        <v>12</v>
      </c>
      <c r="G10">
        <v>50</v>
      </c>
      <c r="H10" s="24">
        <v>45413</v>
      </c>
    </row>
    <row r="11" spans="2:14" ht="18" x14ac:dyDescent="0.35">
      <c r="B11">
        <v>1007</v>
      </c>
      <c r="C11" t="s">
        <v>57</v>
      </c>
      <c r="D11" t="s">
        <v>50</v>
      </c>
      <c r="E11" t="s">
        <v>58</v>
      </c>
      <c r="F11">
        <v>25</v>
      </c>
      <c r="G11">
        <v>8</v>
      </c>
      <c r="H11" s="23" t="s">
        <v>102</v>
      </c>
      <c r="J11" s="25" t="s">
        <v>130</v>
      </c>
      <c r="K11" s="26"/>
      <c r="L11" s="5" t="str">
        <f ca="1">_xlfn.FORMULATEXT(L9)</f>
        <v>=COUNTA(B5:B54)</v>
      </c>
      <c r="M11" s="6"/>
      <c r="N11" s="6"/>
    </row>
    <row r="12" spans="2:14" x14ac:dyDescent="0.3">
      <c r="B12">
        <v>1008</v>
      </c>
      <c r="C12" t="s">
        <v>59</v>
      </c>
      <c r="D12" t="s">
        <v>53</v>
      </c>
      <c r="E12" t="s">
        <v>48</v>
      </c>
      <c r="F12">
        <v>18</v>
      </c>
      <c r="G12">
        <v>10</v>
      </c>
      <c r="H12" s="23" t="s">
        <v>103</v>
      </c>
    </row>
    <row r="13" spans="2:14" x14ac:dyDescent="0.3">
      <c r="B13">
        <v>1009</v>
      </c>
      <c r="C13" t="s">
        <v>60</v>
      </c>
      <c r="D13" t="s">
        <v>44</v>
      </c>
      <c r="E13" t="s">
        <v>51</v>
      </c>
      <c r="F13">
        <v>22</v>
      </c>
      <c r="G13">
        <v>25</v>
      </c>
      <c r="H13" s="23" t="s">
        <v>104</v>
      </c>
    </row>
    <row r="14" spans="2:14" x14ac:dyDescent="0.3">
      <c r="B14">
        <v>1010</v>
      </c>
      <c r="C14" t="s">
        <v>61</v>
      </c>
      <c r="D14" t="s">
        <v>47</v>
      </c>
      <c r="E14" t="s">
        <v>45</v>
      </c>
      <c r="F14">
        <v>8</v>
      </c>
      <c r="G14">
        <v>50</v>
      </c>
      <c r="H14" s="23" t="s">
        <v>105</v>
      </c>
    </row>
    <row r="15" spans="2:14" x14ac:dyDescent="0.3">
      <c r="B15">
        <v>1011</v>
      </c>
      <c r="C15" t="s">
        <v>62</v>
      </c>
      <c r="D15" t="s">
        <v>50</v>
      </c>
      <c r="E15" t="s">
        <v>55</v>
      </c>
      <c r="F15">
        <v>40</v>
      </c>
      <c r="G15">
        <v>5</v>
      </c>
      <c r="H15" s="23" t="s">
        <v>106</v>
      </c>
    </row>
    <row r="16" spans="2:14" x14ac:dyDescent="0.3">
      <c r="B16">
        <v>1012</v>
      </c>
      <c r="C16" t="s">
        <v>63</v>
      </c>
      <c r="D16" t="s">
        <v>53</v>
      </c>
      <c r="E16" t="s">
        <v>58</v>
      </c>
      <c r="F16">
        <v>35</v>
      </c>
      <c r="G16">
        <v>8</v>
      </c>
      <c r="H16" s="23" t="s">
        <v>107</v>
      </c>
    </row>
    <row r="17" spans="2:8" x14ac:dyDescent="0.3">
      <c r="B17">
        <v>1013</v>
      </c>
      <c r="C17" t="s">
        <v>64</v>
      </c>
      <c r="D17" t="s">
        <v>44</v>
      </c>
      <c r="E17" t="s">
        <v>45</v>
      </c>
      <c r="F17">
        <v>14</v>
      </c>
      <c r="G17">
        <v>50</v>
      </c>
      <c r="H17" s="23" t="s">
        <v>108</v>
      </c>
    </row>
    <row r="18" spans="2:8" x14ac:dyDescent="0.3">
      <c r="B18">
        <v>1014</v>
      </c>
      <c r="C18" t="s">
        <v>65</v>
      </c>
      <c r="D18" t="s">
        <v>47</v>
      </c>
      <c r="E18" t="s">
        <v>48</v>
      </c>
      <c r="F18">
        <v>28</v>
      </c>
      <c r="G18">
        <v>10</v>
      </c>
      <c r="H18" s="23" t="s">
        <v>109</v>
      </c>
    </row>
    <row r="19" spans="2:8" x14ac:dyDescent="0.3">
      <c r="B19">
        <v>1015</v>
      </c>
      <c r="C19" t="s">
        <v>66</v>
      </c>
      <c r="D19" t="s">
        <v>50</v>
      </c>
      <c r="E19" t="s">
        <v>51</v>
      </c>
      <c r="F19">
        <v>12</v>
      </c>
      <c r="G19">
        <v>25</v>
      </c>
      <c r="H19" s="23" t="s">
        <v>110</v>
      </c>
    </row>
    <row r="20" spans="2:8" x14ac:dyDescent="0.3">
      <c r="B20">
        <v>1016</v>
      </c>
      <c r="C20" t="s">
        <v>67</v>
      </c>
      <c r="D20" t="s">
        <v>53</v>
      </c>
      <c r="E20" t="s">
        <v>55</v>
      </c>
      <c r="F20">
        <v>25</v>
      </c>
      <c r="G20">
        <v>5</v>
      </c>
      <c r="H20" s="23" t="s">
        <v>111</v>
      </c>
    </row>
    <row r="21" spans="2:8" x14ac:dyDescent="0.3">
      <c r="B21">
        <v>1017</v>
      </c>
      <c r="C21" t="s">
        <v>68</v>
      </c>
      <c r="D21" t="s">
        <v>44</v>
      </c>
      <c r="E21" t="s">
        <v>58</v>
      </c>
      <c r="F21">
        <v>20</v>
      </c>
      <c r="G21">
        <v>8</v>
      </c>
      <c r="H21" s="23" t="s">
        <v>112</v>
      </c>
    </row>
    <row r="22" spans="2:8" x14ac:dyDescent="0.3">
      <c r="B22">
        <v>1018</v>
      </c>
      <c r="C22" t="s">
        <v>69</v>
      </c>
      <c r="D22" t="s">
        <v>47</v>
      </c>
      <c r="E22" t="s">
        <v>45</v>
      </c>
      <c r="F22">
        <v>10</v>
      </c>
      <c r="G22">
        <v>50</v>
      </c>
      <c r="H22" s="23" t="s">
        <v>113</v>
      </c>
    </row>
    <row r="23" spans="2:8" x14ac:dyDescent="0.3">
      <c r="B23">
        <v>1019</v>
      </c>
      <c r="C23" t="s">
        <v>70</v>
      </c>
      <c r="D23" t="s">
        <v>50</v>
      </c>
      <c r="E23" t="s">
        <v>48</v>
      </c>
      <c r="F23">
        <v>15</v>
      </c>
      <c r="G23">
        <v>10</v>
      </c>
      <c r="H23" s="23" t="s">
        <v>114</v>
      </c>
    </row>
    <row r="24" spans="2:8" x14ac:dyDescent="0.3">
      <c r="B24">
        <v>1020</v>
      </c>
      <c r="C24" t="s">
        <v>71</v>
      </c>
      <c r="D24" t="s">
        <v>53</v>
      </c>
      <c r="E24" t="s">
        <v>51</v>
      </c>
      <c r="F24">
        <v>18</v>
      </c>
      <c r="G24">
        <v>25</v>
      </c>
      <c r="H24" s="24">
        <v>45293</v>
      </c>
    </row>
    <row r="25" spans="2:8" x14ac:dyDescent="0.3">
      <c r="B25">
        <v>1021</v>
      </c>
      <c r="C25" t="s">
        <v>72</v>
      </c>
      <c r="D25" t="s">
        <v>44</v>
      </c>
      <c r="E25" t="s">
        <v>45</v>
      </c>
      <c r="F25">
        <v>9</v>
      </c>
      <c r="G25">
        <v>50</v>
      </c>
      <c r="H25" s="24">
        <v>45324</v>
      </c>
    </row>
    <row r="26" spans="2:8" x14ac:dyDescent="0.3">
      <c r="B26">
        <v>1022</v>
      </c>
      <c r="C26" t="s">
        <v>73</v>
      </c>
      <c r="D26" t="s">
        <v>47</v>
      </c>
      <c r="E26" t="s">
        <v>55</v>
      </c>
      <c r="F26">
        <v>35</v>
      </c>
      <c r="G26">
        <v>5</v>
      </c>
      <c r="H26" s="24">
        <v>45353</v>
      </c>
    </row>
    <row r="27" spans="2:8" x14ac:dyDescent="0.3">
      <c r="B27">
        <v>1023</v>
      </c>
      <c r="C27" t="s">
        <v>74</v>
      </c>
      <c r="D27" t="s">
        <v>50</v>
      </c>
      <c r="E27" t="s">
        <v>58</v>
      </c>
      <c r="F27">
        <v>30</v>
      </c>
      <c r="G27">
        <v>8</v>
      </c>
      <c r="H27" s="24">
        <v>45384</v>
      </c>
    </row>
    <row r="28" spans="2:8" x14ac:dyDescent="0.3">
      <c r="B28">
        <v>1024</v>
      </c>
      <c r="C28" t="s">
        <v>75</v>
      </c>
      <c r="D28" t="s">
        <v>53</v>
      </c>
      <c r="E28" t="s">
        <v>45</v>
      </c>
      <c r="F28">
        <v>11</v>
      </c>
      <c r="G28">
        <v>50</v>
      </c>
      <c r="H28" s="24">
        <v>45445</v>
      </c>
    </row>
    <row r="29" spans="2:8" x14ac:dyDescent="0.3">
      <c r="B29">
        <v>1025</v>
      </c>
      <c r="C29" t="s">
        <v>76</v>
      </c>
      <c r="D29" t="s">
        <v>44</v>
      </c>
      <c r="E29" t="s">
        <v>48</v>
      </c>
      <c r="F29">
        <v>14</v>
      </c>
      <c r="G29">
        <v>10</v>
      </c>
      <c r="H29" s="24">
        <v>45475</v>
      </c>
    </row>
    <row r="30" spans="2:8" x14ac:dyDescent="0.3">
      <c r="B30">
        <v>1026</v>
      </c>
      <c r="C30" t="s">
        <v>77</v>
      </c>
      <c r="D30" t="s">
        <v>47</v>
      </c>
      <c r="E30" t="s">
        <v>51</v>
      </c>
      <c r="F30">
        <v>16</v>
      </c>
      <c r="G30">
        <v>25</v>
      </c>
      <c r="H30" s="24">
        <v>45506</v>
      </c>
    </row>
    <row r="31" spans="2:8" x14ac:dyDescent="0.3">
      <c r="B31">
        <v>1027</v>
      </c>
      <c r="C31" t="s">
        <v>78</v>
      </c>
      <c r="D31" t="s">
        <v>50</v>
      </c>
      <c r="E31" t="s">
        <v>55</v>
      </c>
      <c r="F31">
        <v>22</v>
      </c>
      <c r="G31">
        <v>5</v>
      </c>
      <c r="H31" s="24">
        <v>45537</v>
      </c>
    </row>
    <row r="32" spans="2:8" x14ac:dyDescent="0.3">
      <c r="B32">
        <v>1028</v>
      </c>
      <c r="C32" t="s">
        <v>79</v>
      </c>
      <c r="D32" t="s">
        <v>53</v>
      </c>
      <c r="E32" t="s">
        <v>58</v>
      </c>
      <c r="F32">
        <v>27</v>
      </c>
      <c r="G32">
        <v>8</v>
      </c>
      <c r="H32" s="24">
        <v>45567</v>
      </c>
    </row>
    <row r="33" spans="2:8" x14ac:dyDescent="0.3">
      <c r="B33">
        <v>1029</v>
      </c>
      <c r="C33" t="s">
        <v>80</v>
      </c>
      <c r="D33" t="s">
        <v>44</v>
      </c>
      <c r="E33" t="s">
        <v>45</v>
      </c>
      <c r="F33">
        <v>13</v>
      </c>
      <c r="G33">
        <v>50</v>
      </c>
      <c r="H33" s="24">
        <v>45628</v>
      </c>
    </row>
    <row r="34" spans="2:8" x14ac:dyDescent="0.3">
      <c r="B34">
        <v>1030</v>
      </c>
      <c r="C34" t="s">
        <v>81</v>
      </c>
      <c r="D34" t="s">
        <v>47</v>
      </c>
      <c r="E34" t="s">
        <v>48</v>
      </c>
      <c r="F34">
        <v>32</v>
      </c>
      <c r="G34">
        <v>10</v>
      </c>
      <c r="H34" s="23" t="s">
        <v>115</v>
      </c>
    </row>
    <row r="35" spans="2:8" x14ac:dyDescent="0.3">
      <c r="B35">
        <v>1031</v>
      </c>
      <c r="C35" t="s">
        <v>82</v>
      </c>
      <c r="D35" t="s">
        <v>50</v>
      </c>
      <c r="E35" t="s">
        <v>51</v>
      </c>
      <c r="F35">
        <v>10</v>
      </c>
      <c r="G35">
        <v>25</v>
      </c>
      <c r="H35" s="23" t="s">
        <v>116</v>
      </c>
    </row>
    <row r="36" spans="2:8" x14ac:dyDescent="0.3">
      <c r="B36">
        <v>1032</v>
      </c>
      <c r="C36" t="s">
        <v>83</v>
      </c>
      <c r="D36" t="s">
        <v>53</v>
      </c>
      <c r="E36" t="s">
        <v>55</v>
      </c>
      <c r="F36">
        <v>18</v>
      </c>
      <c r="G36">
        <v>5</v>
      </c>
      <c r="H36" s="23" t="s">
        <v>117</v>
      </c>
    </row>
    <row r="37" spans="2:8" x14ac:dyDescent="0.3">
      <c r="B37">
        <v>1033</v>
      </c>
      <c r="C37" t="s">
        <v>84</v>
      </c>
      <c r="D37" t="s">
        <v>44</v>
      </c>
      <c r="E37" t="s">
        <v>58</v>
      </c>
      <c r="F37">
        <v>22</v>
      </c>
      <c r="G37">
        <v>8</v>
      </c>
      <c r="H37" s="23" t="s">
        <v>118</v>
      </c>
    </row>
    <row r="38" spans="2:8" x14ac:dyDescent="0.3">
      <c r="B38">
        <v>1034</v>
      </c>
      <c r="C38" t="s">
        <v>85</v>
      </c>
      <c r="D38" t="s">
        <v>47</v>
      </c>
      <c r="E38" t="s">
        <v>45</v>
      </c>
      <c r="F38">
        <v>17</v>
      </c>
      <c r="G38">
        <v>50</v>
      </c>
      <c r="H38" s="23" t="s">
        <v>119</v>
      </c>
    </row>
    <row r="39" spans="2:8" x14ac:dyDescent="0.3">
      <c r="B39">
        <v>1035</v>
      </c>
      <c r="C39" t="s">
        <v>86</v>
      </c>
      <c r="D39" t="s">
        <v>50</v>
      </c>
      <c r="E39" t="s">
        <v>48</v>
      </c>
      <c r="F39">
        <v>19</v>
      </c>
      <c r="G39">
        <v>10</v>
      </c>
      <c r="H39" s="23" t="s">
        <v>120</v>
      </c>
    </row>
    <row r="40" spans="2:8" x14ac:dyDescent="0.3">
      <c r="B40">
        <v>1036</v>
      </c>
      <c r="C40" t="s">
        <v>87</v>
      </c>
      <c r="D40" t="s">
        <v>53</v>
      </c>
      <c r="E40" t="s">
        <v>51</v>
      </c>
      <c r="F40">
        <v>15</v>
      </c>
      <c r="G40">
        <v>25</v>
      </c>
      <c r="H40" s="23" t="s">
        <v>121</v>
      </c>
    </row>
    <row r="41" spans="2:8" x14ac:dyDescent="0.3">
      <c r="B41">
        <v>1037</v>
      </c>
      <c r="C41" t="s">
        <v>88</v>
      </c>
      <c r="D41" t="s">
        <v>44</v>
      </c>
      <c r="E41" t="s">
        <v>55</v>
      </c>
      <c r="F41">
        <v>28</v>
      </c>
      <c r="G41">
        <v>5</v>
      </c>
      <c r="H41" s="23" t="s">
        <v>122</v>
      </c>
    </row>
    <row r="42" spans="2:8" x14ac:dyDescent="0.3">
      <c r="B42">
        <v>1038</v>
      </c>
      <c r="C42" t="s">
        <v>89</v>
      </c>
      <c r="D42" t="s">
        <v>47</v>
      </c>
      <c r="E42" t="s">
        <v>58</v>
      </c>
      <c r="F42">
        <v>24</v>
      </c>
      <c r="G42">
        <v>8</v>
      </c>
      <c r="H42" s="23" t="s">
        <v>123</v>
      </c>
    </row>
    <row r="43" spans="2:8" x14ac:dyDescent="0.3">
      <c r="B43">
        <v>1039</v>
      </c>
      <c r="C43" t="s">
        <v>90</v>
      </c>
      <c r="D43" t="s">
        <v>50</v>
      </c>
      <c r="E43" t="s">
        <v>45</v>
      </c>
      <c r="F43">
        <v>16</v>
      </c>
      <c r="G43">
        <v>50</v>
      </c>
      <c r="H43" s="23" t="s">
        <v>124</v>
      </c>
    </row>
    <row r="44" spans="2:8" x14ac:dyDescent="0.3">
      <c r="B44">
        <v>1040</v>
      </c>
      <c r="C44" t="s">
        <v>91</v>
      </c>
      <c r="D44" t="s">
        <v>53</v>
      </c>
      <c r="E44" t="s">
        <v>48</v>
      </c>
      <c r="F44">
        <v>27</v>
      </c>
      <c r="G44">
        <v>10</v>
      </c>
      <c r="H44" s="23" t="s">
        <v>125</v>
      </c>
    </row>
    <row r="45" spans="2:8" x14ac:dyDescent="0.3">
      <c r="B45">
        <v>1041</v>
      </c>
      <c r="C45" t="s">
        <v>92</v>
      </c>
      <c r="D45" t="s">
        <v>44</v>
      </c>
      <c r="E45" t="s">
        <v>51</v>
      </c>
      <c r="F45">
        <v>21</v>
      </c>
      <c r="G45">
        <v>25</v>
      </c>
      <c r="H45" s="23" t="s">
        <v>126</v>
      </c>
    </row>
    <row r="46" spans="2:8" x14ac:dyDescent="0.3">
      <c r="B46">
        <v>1042</v>
      </c>
      <c r="C46" t="s">
        <v>93</v>
      </c>
      <c r="D46" t="s">
        <v>47</v>
      </c>
      <c r="E46" t="s">
        <v>55</v>
      </c>
      <c r="F46">
        <v>30</v>
      </c>
      <c r="G46">
        <v>5</v>
      </c>
      <c r="H46" s="23" t="s">
        <v>127</v>
      </c>
    </row>
    <row r="47" spans="2:8" x14ac:dyDescent="0.3">
      <c r="B47">
        <v>1043</v>
      </c>
      <c r="C47" t="s">
        <v>94</v>
      </c>
      <c r="D47" t="s">
        <v>50</v>
      </c>
      <c r="E47" t="s">
        <v>58</v>
      </c>
      <c r="F47">
        <v>26</v>
      </c>
      <c r="G47">
        <v>8</v>
      </c>
      <c r="H47" s="24">
        <v>45294</v>
      </c>
    </row>
    <row r="48" spans="2:8" x14ac:dyDescent="0.3">
      <c r="B48">
        <v>1044</v>
      </c>
      <c r="C48" t="s">
        <v>95</v>
      </c>
      <c r="D48" t="s">
        <v>53</v>
      </c>
      <c r="E48" t="s">
        <v>45</v>
      </c>
      <c r="F48">
        <v>14</v>
      </c>
      <c r="G48">
        <v>50</v>
      </c>
      <c r="H48" s="24">
        <v>45325</v>
      </c>
    </row>
    <row r="49" spans="2:8" x14ac:dyDescent="0.3">
      <c r="B49">
        <v>1045</v>
      </c>
      <c r="C49" t="s">
        <v>96</v>
      </c>
      <c r="D49" t="s">
        <v>44</v>
      </c>
      <c r="E49" t="s">
        <v>48</v>
      </c>
      <c r="F49">
        <v>20</v>
      </c>
      <c r="G49">
        <v>10</v>
      </c>
      <c r="H49" s="24">
        <v>45354</v>
      </c>
    </row>
    <row r="50" spans="2:8" x14ac:dyDescent="0.3">
      <c r="B50">
        <v>1046</v>
      </c>
      <c r="C50" t="s">
        <v>97</v>
      </c>
      <c r="D50" t="s">
        <v>47</v>
      </c>
      <c r="E50" t="s">
        <v>51</v>
      </c>
      <c r="F50">
        <v>17</v>
      </c>
      <c r="G50">
        <v>25</v>
      </c>
      <c r="H50" s="24">
        <v>45385</v>
      </c>
    </row>
    <row r="51" spans="2:8" x14ac:dyDescent="0.3">
      <c r="B51">
        <v>1047</v>
      </c>
      <c r="C51" t="s">
        <v>98</v>
      </c>
      <c r="D51" t="s">
        <v>50</v>
      </c>
      <c r="E51" t="s">
        <v>55</v>
      </c>
      <c r="F51">
        <v>19</v>
      </c>
      <c r="G51">
        <v>5</v>
      </c>
      <c r="H51" s="24">
        <v>45415</v>
      </c>
    </row>
    <row r="52" spans="2:8" x14ac:dyDescent="0.3">
      <c r="B52">
        <v>1048</v>
      </c>
      <c r="C52" t="s">
        <v>99</v>
      </c>
      <c r="D52" t="s">
        <v>53</v>
      </c>
      <c r="E52" t="s">
        <v>58</v>
      </c>
      <c r="F52">
        <v>32</v>
      </c>
      <c r="G52">
        <v>8</v>
      </c>
      <c r="H52" s="24">
        <v>45446</v>
      </c>
    </row>
    <row r="53" spans="2:8" x14ac:dyDescent="0.3">
      <c r="B53">
        <v>1049</v>
      </c>
      <c r="C53" t="s">
        <v>100</v>
      </c>
      <c r="D53" t="s">
        <v>44</v>
      </c>
      <c r="E53" t="s">
        <v>45</v>
      </c>
      <c r="F53">
        <v>12</v>
      </c>
      <c r="G53">
        <v>50</v>
      </c>
      <c r="H53" s="24">
        <v>45476</v>
      </c>
    </row>
    <row r="54" spans="2:8" x14ac:dyDescent="0.3">
      <c r="B54">
        <v>1050</v>
      </c>
      <c r="C54" t="s">
        <v>101</v>
      </c>
      <c r="D54" t="s">
        <v>47</v>
      </c>
      <c r="E54" t="s">
        <v>48</v>
      </c>
      <c r="F54">
        <v>25</v>
      </c>
      <c r="G54">
        <v>10</v>
      </c>
      <c r="H54" s="24">
        <v>45507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34E6E-F244-42EB-9911-3A75B979C0BA}">
  <dimension ref="A2:O59"/>
  <sheetViews>
    <sheetView zoomScale="75" workbookViewId="0">
      <selection activeCell="P10" sqref="P10"/>
    </sheetView>
  </sheetViews>
  <sheetFormatPr defaultRowHeight="14.4" x14ac:dyDescent="0.3"/>
  <cols>
    <col min="8" max="8" width="10.33203125" bestFit="1" customWidth="1"/>
  </cols>
  <sheetData>
    <row r="2" spans="1:15" s="4" customFormat="1" ht="18" x14ac:dyDescent="0.35">
      <c r="A2" s="4" t="s">
        <v>132</v>
      </c>
      <c r="B2" s="4" t="s">
        <v>131</v>
      </c>
    </row>
    <row r="4" spans="1:15" ht="18" x14ac:dyDescent="0.35">
      <c r="B4" t="s">
        <v>36</v>
      </c>
      <c r="C4" t="s">
        <v>37</v>
      </c>
      <c r="D4" t="s">
        <v>38</v>
      </c>
      <c r="E4" t="s">
        <v>39</v>
      </c>
      <c r="F4" t="s">
        <v>40</v>
      </c>
      <c r="G4" t="s">
        <v>41</v>
      </c>
      <c r="H4" s="22" t="s">
        <v>42</v>
      </c>
      <c r="J4" s="5" t="s">
        <v>2</v>
      </c>
      <c r="L4" s="28" t="s">
        <v>133</v>
      </c>
    </row>
    <row r="5" spans="1:15" x14ac:dyDescent="0.3">
      <c r="B5">
        <v>1001</v>
      </c>
      <c r="C5" t="s">
        <v>43</v>
      </c>
      <c r="D5" t="s">
        <v>44</v>
      </c>
      <c r="E5" t="s">
        <v>45</v>
      </c>
      <c r="F5">
        <v>10</v>
      </c>
      <c r="G5">
        <v>50</v>
      </c>
      <c r="H5" s="24">
        <v>45296</v>
      </c>
      <c r="L5" s="27">
        <f>PRODUCT(F5,G5)</f>
        <v>500</v>
      </c>
    </row>
    <row r="6" spans="1:15" x14ac:dyDescent="0.3">
      <c r="B6">
        <v>1002</v>
      </c>
      <c r="C6" t="s">
        <v>46</v>
      </c>
      <c r="D6" t="s">
        <v>47</v>
      </c>
      <c r="E6" t="s">
        <v>48</v>
      </c>
      <c r="F6">
        <v>20</v>
      </c>
      <c r="G6">
        <v>10</v>
      </c>
      <c r="H6" s="24">
        <v>45413</v>
      </c>
      <c r="L6" s="27">
        <f t="shared" ref="L6:L54" si="0">PRODUCT(F6,G6)</f>
        <v>200</v>
      </c>
    </row>
    <row r="7" spans="1:15" x14ac:dyDescent="0.3">
      <c r="B7">
        <v>1003</v>
      </c>
      <c r="C7" t="s">
        <v>49</v>
      </c>
      <c r="D7" t="s">
        <v>50</v>
      </c>
      <c r="E7" t="s">
        <v>51</v>
      </c>
      <c r="F7">
        <v>15</v>
      </c>
      <c r="G7">
        <v>25</v>
      </c>
      <c r="H7" s="24">
        <v>45413</v>
      </c>
      <c r="L7" s="27">
        <f t="shared" si="0"/>
        <v>375</v>
      </c>
      <c r="N7" t="s">
        <v>134</v>
      </c>
    </row>
    <row r="8" spans="1:15" x14ac:dyDescent="0.3">
      <c r="B8">
        <v>1004</v>
      </c>
      <c r="C8" t="s">
        <v>52</v>
      </c>
      <c r="D8" t="s">
        <v>53</v>
      </c>
      <c r="E8" t="s">
        <v>45</v>
      </c>
      <c r="F8">
        <v>5</v>
      </c>
      <c r="G8">
        <v>50</v>
      </c>
      <c r="H8" s="24">
        <v>45413</v>
      </c>
      <c r="L8" s="27">
        <f t="shared" si="0"/>
        <v>250</v>
      </c>
      <c r="O8" t="s">
        <v>135</v>
      </c>
    </row>
    <row r="9" spans="1:15" x14ac:dyDescent="0.3">
      <c r="B9">
        <v>1005</v>
      </c>
      <c r="C9" t="s">
        <v>54</v>
      </c>
      <c r="D9" t="s">
        <v>44</v>
      </c>
      <c r="E9" t="s">
        <v>55</v>
      </c>
      <c r="F9">
        <v>30</v>
      </c>
      <c r="G9">
        <v>5</v>
      </c>
      <c r="H9" s="24">
        <v>45413</v>
      </c>
      <c r="L9" s="27">
        <f t="shared" si="0"/>
        <v>150</v>
      </c>
      <c r="O9" t="s">
        <v>136</v>
      </c>
    </row>
    <row r="10" spans="1:15" x14ac:dyDescent="0.3">
      <c r="B10">
        <v>1006</v>
      </c>
      <c r="C10" t="s">
        <v>56</v>
      </c>
      <c r="D10" t="s">
        <v>47</v>
      </c>
      <c r="E10" t="s">
        <v>45</v>
      </c>
      <c r="F10">
        <v>12</v>
      </c>
      <c r="G10">
        <v>50</v>
      </c>
      <c r="H10" s="24">
        <v>45413</v>
      </c>
      <c r="L10" s="27">
        <f t="shared" si="0"/>
        <v>600</v>
      </c>
      <c r="O10" t="str" cm="1">
        <f t="array" aca="1" ref="O10:O59" ca="1">_xlfn.FORMULATEXT(L5:L54)</f>
        <v>=PRODUCT(F5,G5)</v>
      </c>
    </row>
    <row r="11" spans="1:15" x14ac:dyDescent="0.3">
      <c r="B11">
        <v>1007</v>
      </c>
      <c r="C11" t="s">
        <v>57</v>
      </c>
      <c r="D11" t="s">
        <v>50</v>
      </c>
      <c r="E11" t="s">
        <v>58</v>
      </c>
      <c r="F11">
        <v>25</v>
      </c>
      <c r="G11">
        <v>8</v>
      </c>
      <c r="H11" s="23" t="s">
        <v>102</v>
      </c>
      <c r="L11" s="27">
        <f t="shared" si="0"/>
        <v>200</v>
      </c>
      <c r="O11" t="str">
        <f ca="1"/>
        <v>=PRODUCT(F6,G6)</v>
      </c>
    </row>
    <row r="12" spans="1:15" x14ac:dyDescent="0.3">
      <c r="B12">
        <v>1008</v>
      </c>
      <c r="C12" t="s">
        <v>59</v>
      </c>
      <c r="D12" t="s">
        <v>53</v>
      </c>
      <c r="E12" t="s">
        <v>48</v>
      </c>
      <c r="F12">
        <v>18</v>
      </c>
      <c r="G12">
        <v>10</v>
      </c>
      <c r="H12" s="23" t="s">
        <v>103</v>
      </c>
      <c r="L12" s="27">
        <f t="shared" si="0"/>
        <v>180</v>
      </c>
      <c r="O12" t="str">
        <f ca="1"/>
        <v>=PRODUCT(F7,G7)</v>
      </c>
    </row>
    <row r="13" spans="1:15" x14ac:dyDescent="0.3">
      <c r="B13">
        <v>1009</v>
      </c>
      <c r="C13" t="s">
        <v>60</v>
      </c>
      <c r="D13" t="s">
        <v>44</v>
      </c>
      <c r="E13" t="s">
        <v>51</v>
      </c>
      <c r="F13">
        <v>22</v>
      </c>
      <c r="G13">
        <v>25</v>
      </c>
      <c r="H13" s="23" t="s">
        <v>104</v>
      </c>
      <c r="L13" s="27">
        <f t="shared" si="0"/>
        <v>550</v>
      </c>
      <c r="O13" t="str">
        <f ca="1"/>
        <v>=PRODUCT(F8,G8)</v>
      </c>
    </row>
    <row r="14" spans="1:15" x14ac:dyDescent="0.3">
      <c r="B14">
        <v>1010</v>
      </c>
      <c r="C14" t="s">
        <v>61</v>
      </c>
      <c r="D14" t="s">
        <v>47</v>
      </c>
      <c r="E14" t="s">
        <v>45</v>
      </c>
      <c r="F14">
        <v>8</v>
      </c>
      <c r="G14">
        <v>50</v>
      </c>
      <c r="H14" s="23" t="s">
        <v>105</v>
      </c>
      <c r="L14" s="27">
        <f t="shared" si="0"/>
        <v>400</v>
      </c>
      <c r="O14" t="str">
        <f ca="1"/>
        <v>=PRODUCT(F9,G9)</v>
      </c>
    </row>
    <row r="15" spans="1:15" x14ac:dyDescent="0.3">
      <c r="B15">
        <v>1011</v>
      </c>
      <c r="C15" t="s">
        <v>62</v>
      </c>
      <c r="D15" t="s">
        <v>50</v>
      </c>
      <c r="E15" t="s">
        <v>55</v>
      </c>
      <c r="F15">
        <v>40</v>
      </c>
      <c r="G15">
        <v>5</v>
      </c>
      <c r="H15" s="23" t="s">
        <v>106</v>
      </c>
      <c r="L15" s="27">
        <f t="shared" si="0"/>
        <v>200</v>
      </c>
      <c r="O15" t="str">
        <f ca="1"/>
        <v>=PRODUCT(F10,G10)</v>
      </c>
    </row>
    <row r="16" spans="1:15" x14ac:dyDescent="0.3">
      <c r="B16">
        <v>1012</v>
      </c>
      <c r="C16" t="s">
        <v>63</v>
      </c>
      <c r="D16" t="s">
        <v>53</v>
      </c>
      <c r="E16" t="s">
        <v>58</v>
      </c>
      <c r="F16">
        <v>35</v>
      </c>
      <c r="G16">
        <v>8</v>
      </c>
      <c r="H16" s="23" t="s">
        <v>107</v>
      </c>
      <c r="L16" s="27">
        <f t="shared" si="0"/>
        <v>280</v>
      </c>
      <c r="O16" t="str">
        <f ca="1"/>
        <v>=PRODUCT(F11,G11)</v>
      </c>
    </row>
    <row r="17" spans="2:15" x14ac:dyDescent="0.3">
      <c r="B17">
        <v>1013</v>
      </c>
      <c r="C17" t="s">
        <v>64</v>
      </c>
      <c r="D17" t="s">
        <v>44</v>
      </c>
      <c r="E17" t="s">
        <v>45</v>
      </c>
      <c r="F17">
        <v>14</v>
      </c>
      <c r="G17">
        <v>50</v>
      </c>
      <c r="H17" s="23" t="s">
        <v>108</v>
      </c>
      <c r="L17" s="27">
        <f t="shared" si="0"/>
        <v>700</v>
      </c>
      <c r="O17" t="str">
        <f ca="1"/>
        <v>=PRODUCT(F12,G12)</v>
      </c>
    </row>
    <row r="18" spans="2:15" x14ac:dyDescent="0.3">
      <c r="B18">
        <v>1014</v>
      </c>
      <c r="C18" t="s">
        <v>65</v>
      </c>
      <c r="D18" t="s">
        <v>47</v>
      </c>
      <c r="E18" t="s">
        <v>48</v>
      </c>
      <c r="F18">
        <v>28</v>
      </c>
      <c r="G18">
        <v>10</v>
      </c>
      <c r="H18" s="23" t="s">
        <v>109</v>
      </c>
      <c r="L18" s="27">
        <f t="shared" si="0"/>
        <v>280</v>
      </c>
      <c r="O18" t="str">
        <f ca="1"/>
        <v>=PRODUCT(F13,G13)</v>
      </c>
    </row>
    <row r="19" spans="2:15" x14ac:dyDescent="0.3">
      <c r="B19">
        <v>1015</v>
      </c>
      <c r="C19" t="s">
        <v>66</v>
      </c>
      <c r="D19" t="s">
        <v>50</v>
      </c>
      <c r="E19" t="s">
        <v>51</v>
      </c>
      <c r="F19">
        <v>12</v>
      </c>
      <c r="G19">
        <v>25</v>
      </c>
      <c r="H19" s="23" t="s">
        <v>110</v>
      </c>
      <c r="L19" s="27">
        <f t="shared" si="0"/>
        <v>300</v>
      </c>
      <c r="O19" t="str">
        <f ca="1"/>
        <v>=PRODUCT(F14,G14)</v>
      </c>
    </row>
    <row r="20" spans="2:15" x14ac:dyDescent="0.3">
      <c r="B20">
        <v>1016</v>
      </c>
      <c r="C20" t="s">
        <v>67</v>
      </c>
      <c r="D20" t="s">
        <v>53</v>
      </c>
      <c r="E20" t="s">
        <v>55</v>
      </c>
      <c r="F20">
        <v>25</v>
      </c>
      <c r="G20">
        <v>5</v>
      </c>
      <c r="H20" s="23" t="s">
        <v>111</v>
      </c>
      <c r="L20" s="27">
        <f t="shared" si="0"/>
        <v>125</v>
      </c>
      <c r="O20" t="str">
        <f ca="1"/>
        <v>=PRODUCT(F15,G15)</v>
      </c>
    </row>
    <row r="21" spans="2:15" x14ac:dyDescent="0.3">
      <c r="B21">
        <v>1017</v>
      </c>
      <c r="C21" t="s">
        <v>68</v>
      </c>
      <c r="D21" t="s">
        <v>44</v>
      </c>
      <c r="E21" t="s">
        <v>58</v>
      </c>
      <c r="F21">
        <v>20</v>
      </c>
      <c r="G21">
        <v>8</v>
      </c>
      <c r="H21" s="23" t="s">
        <v>112</v>
      </c>
      <c r="L21" s="27">
        <f t="shared" si="0"/>
        <v>160</v>
      </c>
      <c r="O21" t="str">
        <f ca="1"/>
        <v>=PRODUCT(F16,G16)</v>
      </c>
    </row>
    <row r="22" spans="2:15" x14ac:dyDescent="0.3">
      <c r="B22">
        <v>1018</v>
      </c>
      <c r="C22" t="s">
        <v>69</v>
      </c>
      <c r="D22" t="s">
        <v>47</v>
      </c>
      <c r="E22" t="s">
        <v>45</v>
      </c>
      <c r="F22">
        <v>10</v>
      </c>
      <c r="G22">
        <v>50</v>
      </c>
      <c r="H22" s="23" t="s">
        <v>113</v>
      </c>
      <c r="L22" s="27">
        <f t="shared" si="0"/>
        <v>500</v>
      </c>
      <c r="O22" t="str">
        <f ca="1"/>
        <v>=PRODUCT(F17,G17)</v>
      </c>
    </row>
    <row r="23" spans="2:15" x14ac:dyDescent="0.3">
      <c r="B23">
        <v>1019</v>
      </c>
      <c r="C23" t="s">
        <v>70</v>
      </c>
      <c r="D23" t="s">
        <v>50</v>
      </c>
      <c r="E23" t="s">
        <v>48</v>
      </c>
      <c r="F23">
        <v>15</v>
      </c>
      <c r="G23">
        <v>10</v>
      </c>
      <c r="H23" s="23" t="s">
        <v>114</v>
      </c>
      <c r="L23" s="27">
        <f t="shared" si="0"/>
        <v>150</v>
      </c>
      <c r="O23" t="str">
        <f ca="1"/>
        <v>=PRODUCT(F18,G18)</v>
      </c>
    </row>
    <row r="24" spans="2:15" x14ac:dyDescent="0.3">
      <c r="B24">
        <v>1020</v>
      </c>
      <c r="C24" t="s">
        <v>71</v>
      </c>
      <c r="D24" t="s">
        <v>53</v>
      </c>
      <c r="E24" t="s">
        <v>51</v>
      </c>
      <c r="F24">
        <v>18</v>
      </c>
      <c r="G24">
        <v>25</v>
      </c>
      <c r="H24" s="24">
        <v>45293</v>
      </c>
      <c r="L24" s="27">
        <f t="shared" si="0"/>
        <v>450</v>
      </c>
      <c r="O24" t="str">
        <f ca="1"/>
        <v>=PRODUCT(F19,G19)</v>
      </c>
    </row>
    <row r="25" spans="2:15" x14ac:dyDescent="0.3">
      <c r="B25">
        <v>1021</v>
      </c>
      <c r="C25" t="s">
        <v>72</v>
      </c>
      <c r="D25" t="s">
        <v>44</v>
      </c>
      <c r="E25" t="s">
        <v>45</v>
      </c>
      <c r="F25">
        <v>9</v>
      </c>
      <c r="G25">
        <v>50</v>
      </c>
      <c r="H25" s="24">
        <v>45324</v>
      </c>
      <c r="L25" s="27">
        <f t="shared" si="0"/>
        <v>450</v>
      </c>
      <c r="O25" t="str">
        <f ca="1"/>
        <v>=PRODUCT(F20,G20)</v>
      </c>
    </row>
    <row r="26" spans="2:15" x14ac:dyDescent="0.3">
      <c r="B26">
        <v>1022</v>
      </c>
      <c r="C26" t="s">
        <v>73</v>
      </c>
      <c r="D26" t="s">
        <v>47</v>
      </c>
      <c r="E26" t="s">
        <v>55</v>
      </c>
      <c r="F26">
        <v>35</v>
      </c>
      <c r="G26">
        <v>5</v>
      </c>
      <c r="H26" s="24">
        <v>45353</v>
      </c>
      <c r="L26" s="27">
        <f t="shared" si="0"/>
        <v>175</v>
      </c>
      <c r="O26" t="str">
        <f ca="1"/>
        <v>=PRODUCT(F21,G21)</v>
      </c>
    </row>
    <row r="27" spans="2:15" x14ac:dyDescent="0.3">
      <c r="B27">
        <v>1023</v>
      </c>
      <c r="C27" t="s">
        <v>74</v>
      </c>
      <c r="D27" t="s">
        <v>50</v>
      </c>
      <c r="E27" t="s">
        <v>58</v>
      </c>
      <c r="F27">
        <v>30</v>
      </c>
      <c r="G27">
        <v>8</v>
      </c>
      <c r="H27" s="24">
        <v>45384</v>
      </c>
      <c r="L27" s="27">
        <f t="shared" si="0"/>
        <v>240</v>
      </c>
      <c r="O27" t="str">
        <f ca="1"/>
        <v>=PRODUCT(F22,G22)</v>
      </c>
    </row>
    <row r="28" spans="2:15" x14ac:dyDescent="0.3">
      <c r="B28">
        <v>1024</v>
      </c>
      <c r="C28" t="s">
        <v>75</v>
      </c>
      <c r="D28" t="s">
        <v>53</v>
      </c>
      <c r="E28" t="s">
        <v>45</v>
      </c>
      <c r="F28">
        <v>11</v>
      </c>
      <c r="G28">
        <v>50</v>
      </c>
      <c r="H28" s="24">
        <v>45445</v>
      </c>
      <c r="L28" s="27">
        <f t="shared" si="0"/>
        <v>550</v>
      </c>
      <c r="O28" t="str">
        <f ca="1"/>
        <v>=PRODUCT(F23,G23)</v>
      </c>
    </row>
    <row r="29" spans="2:15" x14ac:dyDescent="0.3">
      <c r="B29">
        <v>1025</v>
      </c>
      <c r="C29" t="s">
        <v>76</v>
      </c>
      <c r="D29" t="s">
        <v>44</v>
      </c>
      <c r="E29" t="s">
        <v>48</v>
      </c>
      <c r="F29">
        <v>14</v>
      </c>
      <c r="G29">
        <v>10</v>
      </c>
      <c r="H29" s="24">
        <v>45475</v>
      </c>
      <c r="L29" s="27">
        <f t="shared" si="0"/>
        <v>140</v>
      </c>
      <c r="O29" t="str">
        <f ca="1"/>
        <v>=PRODUCT(F24,G24)</v>
      </c>
    </row>
    <row r="30" spans="2:15" x14ac:dyDescent="0.3">
      <c r="B30">
        <v>1026</v>
      </c>
      <c r="C30" t="s">
        <v>77</v>
      </c>
      <c r="D30" t="s">
        <v>47</v>
      </c>
      <c r="E30" t="s">
        <v>51</v>
      </c>
      <c r="F30">
        <v>16</v>
      </c>
      <c r="G30">
        <v>25</v>
      </c>
      <c r="H30" s="24">
        <v>45506</v>
      </c>
      <c r="L30" s="27">
        <f t="shared" si="0"/>
        <v>400</v>
      </c>
      <c r="O30" t="str">
        <f ca="1"/>
        <v>=PRODUCT(F25,G25)</v>
      </c>
    </row>
    <row r="31" spans="2:15" x14ac:dyDescent="0.3">
      <c r="B31">
        <v>1027</v>
      </c>
      <c r="C31" t="s">
        <v>78</v>
      </c>
      <c r="D31" t="s">
        <v>50</v>
      </c>
      <c r="E31" t="s">
        <v>55</v>
      </c>
      <c r="F31">
        <v>22</v>
      </c>
      <c r="G31">
        <v>5</v>
      </c>
      <c r="H31" s="24">
        <v>45537</v>
      </c>
      <c r="L31" s="27">
        <f t="shared" si="0"/>
        <v>110</v>
      </c>
      <c r="O31" t="str">
        <f ca="1"/>
        <v>=PRODUCT(F26,G26)</v>
      </c>
    </row>
    <row r="32" spans="2:15" x14ac:dyDescent="0.3">
      <c r="B32">
        <v>1028</v>
      </c>
      <c r="C32" t="s">
        <v>79</v>
      </c>
      <c r="D32" t="s">
        <v>53</v>
      </c>
      <c r="E32" t="s">
        <v>58</v>
      </c>
      <c r="F32">
        <v>27</v>
      </c>
      <c r="G32">
        <v>8</v>
      </c>
      <c r="H32" s="24">
        <v>45567</v>
      </c>
      <c r="L32" s="27">
        <f t="shared" si="0"/>
        <v>216</v>
      </c>
      <c r="O32" t="str">
        <f ca="1"/>
        <v>=PRODUCT(F27,G27)</v>
      </c>
    </row>
    <row r="33" spans="2:15" x14ac:dyDescent="0.3">
      <c r="B33">
        <v>1029</v>
      </c>
      <c r="C33" t="s">
        <v>80</v>
      </c>
      <c r="D33" t="s">
        <v>44</v>
      </c>
      <c r="E33" t="s">
        <v>45</v>
      </c>
      <c r="F33">
        <v>13</v>
      </c>
      <c r="G33">
        <v>50</v>
      </c>
      <c r="H33" s="24">
        <v>45628</v>
      </c>
      <c r="L33" s="27">
        <f t="shared" si="0"/>
        <v>650</v>
      </c>
      <c r="O33" t="str">
        <f ca="1"/>
        <v>=PRODUCT(F28,G28)</v>
      </c>
    </row>
    <row r="34" spans="2:15" x14ac:dyDescent="0.3">
      <c r="B34">
        <v>1030</v>
      </c>
      <c r="C34" t="s">
        <v>81</v>
      </c>
      <c r="D34" t="s">
        <v>47</v>
      </c>
      <c r="E34" t="s">
        <v>48</v>
      </c>
      <c r="F34">
        <v>32</v>
      </c>
      <c r="G34">
        <v>10</v>
      </c>
      <c r="H34" s="23" t="s">
        <v>115</v>
      </c>
      <c r="L34" s="27">
        <f t="shared" si="0"/>
        <v>320</v>
      </c>
      <c r="O34" t="str">
        <f ca="1"/>
        <v>=PRODUCT(F29,G29)</v>
      </c>
    </row>
    <row r="35" spans="2:15" x14ac:dyDescent="0.3">
      <c r="B35">
        <v>1031</v>
      </c>
      <c r="C35" t="s">
        <v>82</v>
      </c>
      <c r="D35" t="s">
        <v>50</v>
      </c>
      <c r="E35" t="s">
        <v>51</v>
      </c>
      <c r="F35">
        <v>10</v>
      </c>
      <c r="G35">
        <v>25</v>
      </c>
      <c r="H35" s="23" t="s">
        <v>116</v>
      </c>
      <c r="L35" s="27">
        <f t="shared" si="0"/>
        <v>250</v>
      </c>
      <c r="O35" t="str">
        <f ca="1"/>
        <v>=PRODUCT(F30,G30)</v>
      </c>
    </row>
    <row r="36" spans="2:15" x14ac:dyDescent="0.3">
      <c r="B36">
        <v>1032</v>
      </c>
      <c r="C36" t="s">
        <v>83</v>
      </c>
      <c r="D36" t="s">
        <v>53</v>
      </c>
      <c r="E36" t="s">
        <v>55</v>
      </c>
      <c r="F36">
        <v>18</v>
      </c>
      <c r="G36">
        <v>5</v>
      </c>
      <c r="H36" s="23" t="s">
        <v>117</v>
      </c>
      <c r="L36" s="27">
        <f t="shared" si="0"/>
        <v>90</v>
      </c>
      <c r="O36" t="str">
        <f ca="1"/>
        <v>=PRODUCT(F31,G31)</v>
      </c>
    </row>
    <row r="37" spans="2:15" x14ac:dyDescent="0.3">
      <c r="B37">
        <v>1033</v>
      </c>
      <c r="C37" t="s">
        <v>84</v>
      </c>
      <c r="D37" t="s">
        <v>44</v>
      </c>
      <c r="E37" t="s">
        <v>58</v>
      </c>
      <c r="F37">
        <v>22</v>
      </c>
      <c r="G37">
        <v>8</v>
      </c>
      <c r="H37" s="23" t="s">
        <v>118</v>
      </c>
      <c r="L37" s="27">
        <f t="shared" si="0"/>
        <v>176</v>
      </c>
      <c r="O37" t="str">
        <f ca="1"/>
        <v>=PRODUCT(F32,G32)</v>
      </c>
    </row>
    <row r="38" spans="2:15" x14ac:dyDescent="0.3">
      <c r="B38">
        <v>1034</v>
      </c>
      <c r="C38" t="s">
        <v>85</v>
      </c>
      <c r="D38" t="s">
        <v>47</v>
      </c>
      <c r="E38" t="s">
        <v>45</v>
      </c>
      <c r="F38">
        <v>17</v>
      </c>
      <c r="G38">
        <v>50</v>
      </c>
      <c r="H38" s="23" t="s">
        <v>119</v>
      </c>
      <c r="L38" s="27">
        <f t="shared" si="0"/>
        <v>850</v>
      </c>
      <c r="O38" t="str">
        <f ca="1"/>
        <v>=PRODUCT(F33,G33)</v>
      </c>
    </row>
    <row r="39" spans="2:15" x14ac:dyDescent="0.3">
      <c r="B39">
        <v>1035</v>
      </c>
      <c r="C39" t="s">
        <v>86</v>
      </c>
      <c r="D39" t="s">
        <v>50</v>
      </c>
      <c r="E39" t="s">
        <v>48</v>
      </c>
      <c r="F39">
        <v>19</v>
      </c>
      <c r="G39">
        <v>10</v>
      </c>
      <c r="H39" s="23" t="s">
        <v>120</v>
      </c>
      <c r="L39" s="27">
        <f t="shared" si="0"/>
        <v>190</v>
      </c>
      <c r="O39" t="str">
        <f ca="1"/>
        <v>=PRODUCT(F34,G34)</v>
      </c>
    </row>
    <row r="40" spans="2:15" x14ac:dyDescent="0.3">
      <c r="B40">
        <v>1036</v>
      </c>
      <c r="C40" t="s">
        <v>87</v>
      </c>
      <c r="D40" t="s">
        <v>53</v>
      </c>
      <c r="E40" t="s">
        <v>51</v>
      </c>
      <c r="F40">
        <v>15</v>
      </c>
      <c r="G40">
        <v>25</v>
      </c>
      <c r="H40" s="23" t="s">
        <v>121</v>
      </c>
      <c r="L40" s="27">
        <f t="shared" si="0"/>
        <v>375</v>
      </c>
      <c r="O40" t="str">
        <f ca="1"/>
        <v>=PRODUCT(F35,G35)</v>
      </c>
    </row>
    <row r="41" spans="2:15" x14ac:dyDescent="0.3">
      <c r="B41">
        <v>1037</v>
      </c>
      <c r="C41" t="s">
        <v>88</v>
      </c>
      <c r="D41" t="s">
        <v>44</v>
      </c>
      <c r="E41" t="s">
        <v>55</v>
      </c>
      <c r="F41">
        <v>28</v>
      </c>
      <c r="G41">
        <v>5</v>
      </c>
      <c r="H41" s="23" t="s">
        <v>122</v>
      </c>
      <c r="L41" s="27">
        <f t="shared" si="0"/>
        <v>140</v>
      </c>
      <c r="O41" t="str">
        <f ca="1"/>
        <v>=PRODUCT(F36,G36)</v>
      </c>
    </row>
    <row r="42" spans="2:15" x14ac:dyDescent="0.3">
      <c r="B42">
        <v>1038</v>
      </c>
      <c r="C42" t="s">
        <v>89</v>
      </c>
      <c r="D42" t="s">
        <v>47</v>
      </c>
      <c r="E42" t="s">
        <v>58</v>
      </c>
      <c r="F42">
        <v>24</v>
      </c>
      <c r="G42">
        <v>8</v>
      </c>
      <c r="H42" s="23" t="s">
        <v>123</v>
      </c>
      <c r="L42" s="27">
        <f t="shared" si="0"/>
        <v>192</v>
      </c>
      <c r="O42" t="str">
        <f ca="1"/>
        <v>=PRODUCT(F37,G37)</v>
      </c>
    </row>
    <row r="43" spans="2:15" x14ac:dyDescent="0.3">
      <c r="B43">
        <v>1039</v>
      </c>
      <c r="C43" t="s">
        <v>90</v>
      </c>
      <c r="D43" t="s">
        <v>50</v>
      </c>
      <c r="E43" t="s">
        <v>45</v>
      </c>
      <c r="F43">
        <v>16</v>
      </c>
      <c r="G43">
        <v>50</v>
      </c>
      <c r="H43" s="23" t="s">
        <v>124</v>
      </c>
      <c r="L43" s="27">
        <f t="shared" si="0"/>
        <v>800</v>
      </c>
      <c r="O43" t="str">
        <f ca="1"/>
        <v>=PRODUCT(F38,G38)</v>
      </c>
    </row>
    <row r="44" spans="2:15" x14ac:dyDescent="0.3">
      <c r="B44">
        <v>1040</v>
      </c>
      <c r="C44" t="s">
        <v>91</v>
      </c>
      <c r="D44" t="s">
        <v>53</v>
      </c>
      <c r="E44" t="s">
        <v>48</v>
      </c>
      <c r="F44">
        <v>27</v>
      </c>
      <c r="G44">
        <v>10</v>
      </c>
      <c r="H44" s="23" t="s">
        <v>125</v>
      </c>
      <c r="L44" s="27">
        <f t="shared" si="0"/>
        <v>270</v>
      </c>
      <c r="O44" t="str">
        <f ca="1"/>
        <v>=PRODUCT(F39,G39)</v>
      </c>
    </row>
    <row r="45" spans="2:15" x14ac:dyDescent="0.3">
      <c r="B45">
        <v>1041</v>
      </c>
      <c r="C45" t="s">
        <v>92</v>
      </c>
      <c r="D45" t="s">
        <v>44</v>
      </c>
      <c r="E45" t="s">
        <v>51</v>
      </c>
      <c r="F45">
        <v>21</v>
      </c>
      <c r="G45">
        <v>25</v>
      </c>
      <c r="H45" s="23" t="s">
        <v>126</v>
      </c>
      <c r="L45" s="27">
        <f t="shared" si="0"/>
        <v>525</v>
      </c>
      <c r="O45" t="str">
        <f ca="1"/>
        <v>=PRODUCT(F40,G40)</v>
      </c>
    </row>
    <row r="46" spans="2:15" x14ac:dyDescent="0.3">
      <c r="B46">
        <v>1042</v>
      </c>
      <c r="C46" t="s">
        <v>93</v>
      </c>
      <c r="D46" t="s">
        <v>47</v>
      </c>
      <c r="E46" t="s">
        <v>55</v>
      </c>
      <c r="F46">
        <v>30</v>
      </c>
      <c r="G46">
        <v>5</v>
      </c>
      <c r="H46" s="23" t="s">
        <v>127</v>
      </c>
      <c r="L46" s="27">
        <f t="shared" si="0"/>
        <v>150</v>
      </c>
      <c r="O46" t="str">
        <f ca="1"/>
        <v>=PRODUCT(F41,G41)</v>
      </c>
    </row>
    <row r="47" spans="2:15" x14ac:dyDescent="0.3">
      <c r="B47">
        <v>1043</v>
      </c>
      <c r="C47" t="s">
        <v>94</v>
      </c>
      <c r="D47" t="s">
        <v>50</v>
      </c>
      <c r="E47" t="s">
        <v>58</v>
      </c>
      <c r="F47">
        <v>26</v>
      </c>
      <c r="G47">
        <v>8</v>
      </c>
      <c r="H47" s="24">
        <v>45294</v>
      </c>
      <c r="L47" s="27">
        <f t="shared" si="0"/>
        <v>208</v>
      </c>
      <c r="O47" t="str">
        <f ca="1"/>
        <v>=PRODUCT(F42,G42)</v>
      </c>
    </row>
    <row r="48" spans="2:15" x14ac:dyDescent="0.3">
      <c r="B48">
        <v>1044</v>
      </c>
      <c r="C48" t="s">
        <v>95</v>
      </c>
      <c r="D48" t="s">
        <v>53</v>
      </c>
      <c r="E48" t="s">
        <v>45</v>
      </c>
      <c r="F48">
        <v>14</v>
      </c>
      <c r="G48">
        <v>50</v>
      </c>
      <c r="H48" s="24">
        <v>45325</v>
      </c>
      <c r="L48" s="27">
        <f t="shared" si="0"/>
        <v>700</v>
      </c>
      <c r="O48" t="str">
        <f ca="1"/>
        <v>=PRODUCT(F43,G43)</v>
      </c>
    </row>
    <row r="49" spans="2:15" x14ac:dyDescent="0.3">
      <c r="B49">
        <v>1045</v>
      </c>
      <c r="C49" t="s">
        <v>96</v>
      </c>
      <c r="D49" t="s">
        <v>44</v>
      </c>
      <c r="E49" t="s">
        <v>48</v>
      </c>
      <c r="F49">
        <v>20</v>
      </c>
      <c r="G49">
        <v>10</v>
      </c>
      <c r="H49" s="24">
        <v>45354</v>
      </c>
      <c r="L49" s="27">
        <f t="shared" si="0"/>
        <v>200</v>
      </c>
      <c r="O49" t="str">
        <f ca="1"/>
        <v>=PRODUCT(F44,G44)</v>
      </c>
    </row>
    <row r="50" spans="2:15" x14ac:dyDescent="0.3">
      <c r="B50">
        <v>1046</v>
      </c>
      <c r="C50" t="s">
        <v>97</v>
      </c>
      <c r="D50" t="s">
        <v>47</v>
      </c>
      <c r="E50" t="s">
        <v>51</v>
      </c>
      <c r="F50">
        <v>17</v>
      </c>
      <c r="G50">
        <v>25</v>
      </c>
      <c r="H50" s="24">
        <v>45385</v>
      </c>
      <c r="L50" s="27">
        <f t="shared" si="0"/>
        <v>425</v>
      </c>
      <c r="O50" t="str">
        <f ca="1"/>
        <v>=PRODUCT(F45,G45)</v>
      </c>
    </row>
    <row r="51" spans="2:15" x14ac:dyDescent="0.3">
      <c r="B51">
        <v>1047</v>
      </c>
      <c r="C51" t="s">
        <v>98</v>
      </c>
      <c r="D51" t="s">
        <v>50</v>
      </c>
      <c r="E51" t="s">
        <v>55</v>
      </c>
      <c r="F51">
        <v>19</v>
      </c>
      <c r="G51">
        <v>5</v>
      </c>
      <c r="H51" s="24">
        <v>45415</v>
      </c>
      <c r="L51" s="27">
        <f t="shared" si="0"/>
        <v>95</v>
      </c>
      <c r="O51" t="str">
        <f ca="1"/>
        <v>=PRODUCT(F46,G46)</v>
      </c>
    </row>
    <row r="52" spans="2:15" x14ac:dyDescent="0.3">
      <c r="B52">
        <v>1048</v>
      </c>
      <c r="C52" t="s">
        <v>99</v>
      </c>
      <c r="D52" t="s">
        <v>53</v>
      </c>
      <c r="E52" t="s">
        <v>58</v>
      </c>
      <c r="F52">
        <v>32</v>
      </c>
      <c r="G52">
        <v>8</v>
      </c>
      <c r="H52" s="24">
        <v>45446</v>
      </c>
      <c r="L52" s="27">
        <f t="shared" si="0"/>
        <v>256</v>
      </c>
      <c r="O52" t="str">
        <f ca="1"/>
        <v>=PRODUCT(F47,G47)</v>
      </c>
    </row>
    <row r="53" spans="2:15" x14ac:dyDescent="0.3">
      <c r="B53">
        <v>1049</v>
      </c>
      <c r="C53" t="s">
        <v>100</v>
      </c>
      <c r="D53" t="s">
        <v>44</v>
      </c>
      <c r="E53" t="s">
        <v>45</v>
      </c>
      <c r="F53">
        <v>12</v>
      </c>
      <c r="G53">
        <v>50</v>
      </c>
      <c r="H53" s="24">
        <v>45476</v>
      </c>
      <c r="L53" s="27">
        <f t="shared" si="0"/>
        <v>600</v>
      </c>
      <c r="O53" t="str">
        <f ca="1"/>
        <v>=PRODUCT(F48,G48)</v>
      </c>
    </row>
    <row r="54" spans="2:15" x14ac:dyDescent="0.3">
      <c r="B54">
        <v>1050</v>
      </c>
      <c r="C54" t="s">
        <v>101</v>
      </c>
      <c r="D54" t="s">
        <v>47</v>
      </c>
      <c r="E54" t="s">
        <v>48</v>
      </c>
      <c r="F54">
        <v>25</v>
      </c>
      <c r="G54">
        <v>10</v>
      </c>
      <c r="H54" s="24">
        <v>45507</v>
      </c>
      <c r="L54" s="27">
        <f t="shared" si="0"/>
        <v>250</v>
      </c>
      <c r="O54" t="str">
        <f ca="1"/>
        <v>=PRODUCT(F49,G49)</v>
      </c>
    </row>
    <row r="55" spans="2:15" x14ac:dyDescent="0.3">
      <c r="O55" t="str">
        <f ca="1"/>
        <v>=PRODUCT(F50,G50)</v>
      </c>
    </row>
    <row r="56" spans="2:15" x14ac:dyDescent="0.3">
      <c r="O56" t="str">
        <f ca="1"/>
        <v>=PRODUCT(F51,G51)</v>
      </c>
    </row>
    <row r="57" spans="2:15" x14ac:dyDescent="0.3">
      <c r="O57" t="str">
        <f ca="1"/>
        <v>=PRODUCT(F52,G52)</v>
      </c>
    </row>
    <row r="58" spans="2:15" x14ac:dyDescent="0.3">
      <c r="O58" t="str">
        <f ca="1"/>
        <v>=PRODUCT(F53,G53)</v>
      </c>
    </row>
    <row r="59" spans="2:15" x14ac:dyDescent="0.3">
      <c r="O59" t="str">
        <f ca="1"/>
        <v>=PRODUCT(F54,G54)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96081-4AE7-49B3-B358-314902C44289}">
  <dimension ref="A2:K54"/>
  <sheetViews>
    <sheetView workbookViewId="0">
      <selection activeCell="N13" sqref="N13"/>
    </sheetView>
  </sheetViews>
  <sheetFormatPr defaultRowHeight="14.4" x14ac:dyDescent="0.3"/>
  <cols>
    <col min="8" max="8" width="10.33203125" bestFit="1" customWidth="1"/>
  </cols>
  <sheetData>
    <row r="2" spans="1:11" s="4" customFormat="1" ht="18" x14ac:dyDescent="0.35">
      <c r="A2" s="4" t="s">
        <v>138</v>
      </c>
      <c r="B2" s="4" t="s">
        <v>137</v>
      </c>
    </row>
    <row r="4" spans="1:11" x14ac:dyDescent="0.3">
      <c r="B4" t="s">
        <v>36</v>
      </c>
      <c r="C4" t="s">
        <v>37</v>
      </c>
      <c r="D4" t="s">
        <v>38</v>
      </c>
      <c r="E4" t="s">
        <v>39</v>
      </c>
      <c r="F4" t="s">
        <v>40</v>
      </c>
      <c r="G4" t="s">
        <v>41</v>
      </c>
      <c r="H4" s="22" t="s">
        <v>42</v>
      </c>
      <c r="I4" t="s">
        <v>133</v>
      </c>
    </row>
    <row r="5" spans="1:11" x14ac:dyDescent="0.3">
      <c r="B5">
        <v>1001</v>
      </c>
      <c r="C5" t="s">
        <v>43</v>
      </c>
      <c r="D5" t="s">
        <v>44</v>
      </c>
      <c r="E5" t="s">
        <v>45</v>
      </c>
      <c r="F5">
        <v>10</v>
      </c>
      <c r="G5">
        <v>50</v>
      </c>
      <c r="H5" s="24">
        <v>45413</v>
      </c>
      <c r="I5">
        <f t="shared" ref="I5:I36" si="0">PRODUCT(F5,G5)</f>
        <v>500</v>
      </c>
      <c r="J5" t="s">
        <v>2</v>
      </c>
      <c r="K5" t="s">
        <v>139</v>
      </c>
    </row>
    <row r="6" spans="1:11" x14ac:dyDescent="0.3">
      <c r="B6">
        <v>1002</v>
      </c>
      <c r="C6" t="s">
        <v>46</v>
      </c>
      <c r="D6" t="s">
        <v>47</v>
      </c>
      <c r="E6" t="s">
        <v>48</v>
      </c>
      <c r="F6">
        <v>20</v>
      </c>
      <c r="G6">
        <v>10</v>
      </c>
      <c r="H6" s="24">
        <v>45413</v>
      </c>
      <c r="I6">
        <f t="shared" si="0"/>
        <v>200</v>
      </c>
      <c r="J6" s="15" t="s">
        <v>27</v>
      </c>
      <c r="K6">
        <f>SUMIFS(I4:I54,E4:E54,"NOTEBOOK",D4:D54,"NORTH")</f>
        <v>2900</v>
      </c>
    </row>
    <row r="7" spans="1:11" x14ac:dyDescent="0.3">
      <c r="B7">
        <v>1003</v>
      </c>
      <c r="C7" t="s">
        <v>49</v>
      </c>
      <c r="D7" t="s">
        <v>50</v>
      </c>
      <c r="E7" t="s">
        <v>51</v>
      </c>
      <c r="F7">
        <v>15</v>
      </c>
      <c r="G7">
        <v>25</v>
      </c>
      <c r="H7" s="24">
        <v>45413</v>
      </c>
      <c r="I7">
        <f t="shared" si="0"/>
        <v>375</v>
      </c>
    </row>
    <row r="8" spans="1:11" x14ac:dyDescent="0.3">
      <c r="B8">
        <v>1004</v>
      </c>
      <c r="C8" t="s">
        <v>52</v>
      </c>
      <c r="D8" t="s">
        <v>53</v>
      </c>
      <c r="E8" t="s">
        <v>45</v>
      </c>
      <c r="F8">
        <v>5</v>
      </c>
      <c r="G8">
        <v>50</v>
      </c>
      <c r="H8" s="24">
        <v>45413</v>
      </c>
      <c r="I8">
        <f t="shared" si="0"/>
        <v>250</v>
      </c>
      <c r="K8" t="s">
        <v>140</v>
      </c>
    </row>
    <row r="9" spans="1:11" x14ac:dyDescent="0.3">
      <c r="B9">
        <v>1005</v>
      </c>
      <c r="C9" t="s">
        <v>54</v>
      </c>
      <c r="D9" t="s">
        <v>44</v>
      </c>
      <c r="E9" t="s">
        <v>55</v>
      </c>
      <c r="F9">
        <v>30</v>
      </c>
      <c r="G9">
        <v>5</v>
      </c>
      <c r="H9" s="24">
        <v>45413</v>
      </c>
      <c r="I9">
        <f t="shared" si="0"/>
        <v>150</v>
      </c>
      <c r="K9" t="str">
        <f ca="1">_xlfn.FORMULATEXT(K6)</f>
        <v>=SUMIFS(I4:I54,E4:E54,"NOTEBOOK",D4:D54,"NORTH")</v>
      </c>
    </row>
    <row r="10" spans="1:11" x14ac:dyDescent="0.3">
      <c r="B10">
        <v>1006</v>
      </c>
      <c r="C10" t="s">
        <v>56</v>
      </c>
      <c r="D10" t="s">
        <v>47</v>
      </c>
      <c r="E10" t="s">
        <v>45</v>
      </c>
      <c r="F10">
        <v>12</v>
      </c>
      <c r="G10">
        <v>50</v>
      </c>
      <c r="H10" s="24">
        <v>45413</v>
      </c>
      <c r="I10">
        <f t="shared" si="0"/>
        <v>600</v>
      </c>
    </row>
    <row r="11" spans="1:11" x14ac:dyDescent="0.3">
      <c r="B11">
        <v>1007</v>
      </c>
      <c r="C11" t="s">
        <v>57</v>
      </c>
      <c r="D11" t="s">
        <v>50</v>
      </c>
      <c r="E11" t="s">
        <v>58</v>
      </c>
      <c r="F11">
        <v>25</v>
      </c>
      <c r="G11">
        <v>8</v>
      </c>
      <c r="H11" s="23" t="s">
        <v>102</v>
      </c>
      <c r="I11">
        <f t="shared" si="0"/>
        <v>200</v>
      </c>
    </row>
    <row r="12" spans="1:11" x14ac:dyDescent="0.3">
      <c r="B12">
        <v>1008</v>
      </c>
      <c r="C12" t="s">
        <v>59</v>
      </c>
      <c r="D12" t="s">
        <v>53</v>
      </c>
      <c r="E12" t="s">
        <v>48</v>
      </c>
      <c r="F12">
        <v>18</v>
      </c>
      <c r="G12">
        <v>10</v>
      </c>
      <c r="H12" s="23" t="s">
        <v>103</v>
      </c>
      <c r="I12">
        <f t="shared" si="0"/>
        <v>180</v>
      </c>
    </row>
    <row r="13" spans="1:11" x14ac:dyDescent="0.3">
      <c r="B13">
        <v>1009</v>
      </c>
      <c r="C13" t="s">
        <v>60</v>
      </c>
      <c r="D13" t="s">
        <v>44</v>
      </c>
      <c r="E13" t="s">
        <v>51</v>
      </c>
      <c r="F13">
        <v>22</v>
      </c>
      <c r="G13">
        <v>25</v>
      </c>
      <c r="H13" s="23" t="s">
        <v>104</v>
      </c>
      <c r="I13">
        <f t="shared" si="0"/>
        <v>550</v>
      </c>
    </row>
    <row r="14" spans="1:11" x14ac:dyDescent="0.3">
      <c r="B14">
        <v>1010</v>
      </c>
      <c r="C14" t="s">
        <v>61</v>
      </c>
      <c r="D14" t="s">
        <v>47</v>
      </c>
      <c r="E14" t="s">
        <v>45</v>
      </c>
      <c r="F14">
        <v>8</v>
      </c>
      <c r="G14">
        <v>50</v>
      </c>
      <c r="H14" s="23" t="s">
        <v>105</v>
      </c>
      <c r="I14">
        <f t="shared" si="0"/>
        <v>400</v>
      </c>
    </row>
    <row r="15" spans="1:11" x14ac:dyDescent="0.3">
      <c r="B15">
        <v>1011</v>
      </c>
      <c r="C15" t="s">
        <v>62</v>
      </c>
      <c r="D15" t="s">
        <v>50</v>
      </c>
      <c r="E15" t="s">
        <v>55</v>
      </c>
      <c r="F15">
        <v>40</v>
      </c>
      <c r="G15">
        <v>5</v>
      </c>
      <c r="H15" s="23" t="s">
        <v>106</v>
      </c>
      <c r="I15">
        <f t="shared" si="0"/>
        <v>200</v>
      </c>
    </row>
    <row r="16" spans="1:11" x14ac:dyDescent="0.3">
      <c r="B16">
        <v>1012</v>
      </c>
      <c r="C16" t="s">
        <v>63</v>
      </c>
      <c r="D16" t="s">
        <v>53</v>
      </c>
      <c r="E16" t="s">
        <v>58</v>
      </c>
      <c r="F16">
        <v>35</v>
      </c>
      <c r="G16">
        <v>8</v>
      </c>
      <c r="H16" s="23" t="s">
        <v>107</v>
      </c>
      <c r="I16">
        <f t="shared" si="0"/>
        <v>280</v>
      </c>
    </row>
    <row r="17" spans="2:9" x14ac:dyDescent="0.3">
      <c r="B17">
        <v>1013</v>
      </c>
      <c r="C17" t="s">
        <v>64</v>
      </c>
      <c r="D17" t="s">
        <v>44</v>
      </c>
      <c r="E17" t="s">
        <v>45</v>
      </c>
      <c r="F17">
        <v>14</v>
      </c>
      <c r="G17">
        <v>50</v>
      </c>
      <c r="H17" s="23" t="s">
        <v>108</v>
      </c>
      <c r="I17">
        <f t="shared" si="0"/>
        <v>700</v>
      </c>
    </row>
    <row r="18" spans="2:9" x14ac:dyDescent="0.3">
      <c r="B18">
        <v>1014</v>
      </c>
      <c r="C18" t="s">
        <v>65</v>
      </c>
      <c r="D18" t="s">
        <v>47</v>
      </c>
      <c r="E18" t="s">
        <v>48</v>
      </c>
      <c r="F18">
        <v>28</v>
      </c>
      <c r="G18">
        <v>10</v>
      </c>
      <c r="H18" s="23" t="s">
        <v>109</v>
      </c>
      <c r="I18">
        <f t="shared" si="0"/>
        <v>280</v>
      </c>
    </row>
    <row r="19" spans="2:9" x14ac:dyDescent="0.3">
      <c r="B19">
        <v>1015</v>
      </c>
      <c r="C19" t="s">
        <v>66</v>
      </c>
      <c r="D19" t="s">
        <v>50</v>
      </c>
      <c r="E19" t="s">
        <v>51</v>
      </c>
      <c r="F19">
        <v>12</v>
      </c>
      <c r="G19">
        <v>25</v>
      </c>
      <c r="H19" s="23" t="s">
        <v>110</v>
      </c>
      <c r="I19">
        <f t="shared" si="0"/>
        <v>300</v>
      </c>
    </row>
    <row r="20" spans="2:9" x14ac:dyDescent="0.3">
      <c r="B20">
        <v>1016</v>
      </c>
      <c r="C20" t="s">
        <v>67</v>
      </c>
      <c r="D20" t="s">
        <v>53</v>
      </c>
      <c r="E20" t="s">
        <v>55</v>
      </c>
      <c r="F20">
        <v>25</v>
      </c>
      <c r="G20">
        <v>5</v>
      </c>
      <c r="H20" s="23" t="s">
        <v>111</v>
      </c>
      <c r="I20">
        <f t="shared" si="0"/>
        <v>125</v>
      </c>
    </row>
    <row r="21" spans="2:9" x14ac:dyDescent="0.3">
      <c r="B21">
        <v>1017</v>
      </c>
      <c r="C21" t="s">
        <v>68</v>
      </c>
      <c r="D21" t="s">
        <v>44</v>
      </c>
      <c r="E21" t="s">
        <v>58</v>
      </c>
      <c r="F21">
        <v>20</v>
      </c>
      <c r="G21">
        <v>8</v>
      </c>
      <c r="H21" s="23" t="s">
        <v>112</v>
      </c>
      <c r="I21">
        <f t="shared" si="0"/>
        <v>160</v>
      </c>
    </row>
    <row r="22" spans="2:9" x14ac:dyDescent="0.3">
      <c r="B22">
        <v>1018</v>
      </c>
      <c r="C22" t="s">
        <v>69</v>
      </c>
      <c r="D22" t="s">
        <v>47</v>
      </c>
      <c r="E22" t="s">
        <v>45</v>
      </c>
      <c r="F22">
        <v>10</v>
      </c>
      <c r="G22">
        <v>50</v>
      </c>
      <c r="H22" s="23" t="s">
        <v>113</v>
      </c>
      <c r="I22">
        <f t="shared" si="0"/>
        <v>500</v>
      </c>
    </row>
    <row r="23" spans="2:9" x14ac:dyDescent="0.3">
      <c r="B23">
        <v>1019</v>
      </c>
      <c r="C23" t="s">
        <v>70</v>
      </c>
      <c r="D23" t="s">
        <v>50</v>
      </c>
      <c r="E23" t="s">
        <v>48</v>
      </c>
      <c r="F23">
        <v>15</v>
      </c>
      <c r="G23">
        <v>10</v>
      </c>
      <c r="H23" s="23" t="s">
        <v>114</v>
      </c>
      <c r="I23">
        <f t="shared" si="0"/>
        <v>150</v>
      </c>
    </row>
    <row r="24" spans="2:9" x14ac:dyDescent="0.3">
      <c r="B24">
        <v>1020</v>
      </c>
      <c r="C24" t="s">
        <v>71</v>
      </c>
      <c r="D24" t="s">
        <v>53</v>
      </c>
      <c r="E24" t="s">
        <v>51</v>
      </c>
      <c r="F24">
        <v>18</v>
      </c>
      <c r="G24">
        <v>25</v>
      </c>
      <c r="H24" s="24">
        <v>45293</v>
      </c>
      <c r="I24">
        <f t="shared" si="0"/>
        <v>450</v>
      </c>
    </row>
    <row r="25" spans="2:9" x14ac:dyDescent="0.3">
      <c r="B25">
        <v>1021</v>
      </c>
      <c r="C25" t="s">
        <v>72</v>
      </c>
      <c r="D25" t="s">
        <v>44</v>
      </c>
      <c r="E25" t="s">
        <v>45</v>
      </c>
      <c r="F25">
        <v>9</v>
      </c>
      <c r="G25">
        <v>50</v>
      </c>
      <c r="H25" s="24">
        <v>45324</v>
      </c>
      <c r="I25">
        <f t="shared" si="0"/>
        <v>450</v>
      </c>
    </row>
    <row r="26" spans="2:9" x14ac:dyDescent="0.3">
      <c r="B26">
        <v>1022</v>
      </c>
      <c r="C26" t="s">
        <v>73</v>
      </c>
      <c r="D26" t="s">
        <v>47</v>
      </c>
      <c r="E26" t="s">
        <v>55</v>
      </c>
      <c r="F26">
        <v>35</v>
      </c>
      <c r="G26">
        <v>5</v>
      </c>
      <c r="H26" s="24">
        <v>45353</v>
      </c>
      <c r="I26">
        <f t="shared" si="0"/>
        <v>175</v>
      </c>
    </row>
    <row r="27" spans="2:9" x14ac:dyDescent="0.3">
      <c r="B27">
        <v>1023</v>
      </c>
      <c r="C27" t="s">
        <v>74</v>
      </c>
      <c r="D27" t="s">
        <v>50</v>
      </c>
      <c r="E27" t="s">
        <v>58</v>
      </c>
      <c r="F27">
        <v>30</v>
      </c>
      <c r="G27">
        <v>8</v>
      </c>
      <c r="H27" s="24">
        <v>45384</v>
      </c>
      <c r="I27">
        <f t="shared" si="0"/>
        <v>240</v>
      </c>
    </row>
    <row r="28" spans="2:9" x14ac:dyDescent="0.3">
      <c r="B28">
        <v>1024</v>
      </c>
      <c r="C28" t="s">
        <v>75</v>
      </c>
      <c r="D28" t="s">
        <v>53</v>
      </c>
      <c r="E28" t="s">
        <v>45</v>
      </c>
      <c r="F28">
        <v>11</v>
      </c>
      <c r="G28">
        <v>50</v>
      </c>
      <c r="H28" s="24">
        <v>45445</v>
      </c>
      <c r="I28">
        <f t="shared" si="0"/>
        <v>550</v>
      </c>
    </row>
    <row r="29" spans="2:9" x14ac:dyDescent="0.3">
      <c r="B29">
        <v>1025</v>
      </c>
      <c r="C29" t="s">
        <v>76</v>
      </c>
      <c r="D29" t="s">
        <v>44</v>
      </c>
      <c r="E29" t="s">
        <v>48</v>
      </c>
      <c r="F29">
        <v>14</v>
      </c>
      <c r="G29">
        <v>10</v>
      </c>
      <c r="H29" s="24">
        <v>45475</v>
      </c>
      <c r="I29">
        <f t="shared" si="0"/>
        <v>140</v>
      </c>
    </row>
    <row r="30" spans="2:9" x14ac:dyDescent="0.3">
      <c r="B30">
        <v>1026</v>
      </c>
      <c r="C30" t="s">
        <v>77</v>
      </c>
      <c r="D30" t="s">
        <v>47</v>
      </c>
      <c r="E30" t="s">
        <v>51</v>
      </c>
      <c r="F30">
        <v>16</v>
      </c>
      <c r="G30">
        <v>25</v>
      </c>
      <c r="H30" s="24">
        <v>45506</v>
      </c>
      <c r="I30">
        <f t="shared" si="0"/>
        <v>400</v>
      </c>
    </row>
    <row r="31" spans="2:9" x14ac:dyDescent="0.3">
      <c r="B31">
        <v>1027</v>
      </c>
      <c r="C31" t="s">
        <v>78</v>
      </c>
      <c r="D31" t="s">
        <v>50</v>
      </c>
      <c r="E31" t="s">
        <v>55</v>
      </c>
      <c r="F31">
        <v>22</v>
      </c>
      <c r="G31">
        <v>5</v>
      </c>
      <c r="H31" s="24">
        <v>45537</v>
      </c>
      <c r="I31">
        <f t="shared" si="0"/>
        <v>110</v>
      </c>
    </row>
    <row r="32" spans="2:9" x14ac:dyDescent="0.3">
      <c r="B32">
        <v>1028</v>
      </c>
      <c r="C32" t="s">
        <v>79</v>
      </c>
      <c r="D32" t="s">
        <v>53</v>
      </c>
      <c r="E32" t="s">
        <v>58</v>
      </c>
      <c r="F32">
        <v>27</v>
      </c>
      <c r="G32">
        <v>8</v>
      </c>
      <c r="H32" s="24">
        <v>45567</v>
      </c>
      <c r="I32">
        <f t="shared" si="0"/>
        <v>216</v>
      </c>
    </row>
    <row r="33" spans="2:9" x14ac:dyDescent="0.3">
      <c r="B33">
        <v>1029</v>
      </c>
      <c r="C33" t="s">
        <v>80</v>
      </c>
      <c r="D33" t="s">
        <v>44</v>
      </c>
      <c r="E33" t="s">
        <v>45</v>
      </c>
      <c r="F33">
        <v>13</v>
      </c>
      <c r="G33">
        <v>50</v>
      </c>
      <c r="H33" s="24">
        <v>45628</v>
      </c>
      <c r="I33">
        <f t="shared" si="0"/>
        <v>650</v>
      </c>
    </row>
    <row r="34" spans="2:9" x14ac:dyDescent="0.3">
      <c r="B34">
        <v>1030</v>
      </c>
      <c r="C34" t="s">
        <v>81</v>
      </c>
      <c r="D34" t="s">
        <v>47</v>
      </c>
      <c r="E34" t="s">
        <v>48</v>
      </c>
      <c r="F34">
        <v>32</v>
      </c>
      <c r="G34">
        <v>10</v>
      </c>
      <c r="H34" s="23" t="s">
        <v>115</v>
      </c>
      <c r="I34">
        <f t="shared" si="0"/>
        <v>320</v>
      </c>
    </row>
    <row r="35" spans="2:9" x14ac:dyDescent="0.3">
      <c r="B35">
        <v>1031</v>
      </c>
      <c r="C35" t="s">
        <v>82</v>
      </c>
      <c r="D35" t="s">
        <v>50</v>
      </c>
      <c r="E35" t="s">
        <v>51</v>
      </c>
      <c r="F35">
        <v>10</v>
      </c>
      <c r="G35">
        <v>25</v>
      </c>
      <c r="H35" s="23" t="s">
        <v>116</v>
      </c>
      <c r="I35">
        <f t="shared" si="0"/>
        <v>250</v>
      </c>
    </row>
    <row r="36" spans="2:9" x14ac:dyDescent="0.3">
      <c r="B36">
        <v>1032</v>
      </c>
      <c r="C36" t="s">
        <v>83</v>
      </c>
      <c r="D36" t="s">
        <v>53</v>
      </c>
      <c r="E36" t="s">
        <v>55</v>
      </c>
      <c r="F36">
        <v>18</v>
      </c>
      <c r="G36">
        <v>5</v>
      </c>
      <c r="H36" s="23" t="s">
        <v>117</v>
      </c>
      <c r="I36">
        <f t="shared" si="0"/>
        <v>90</v>
      </c>
    </row>
    <row r="37" spans="2:9" x14ac:dyDescent="0.3">
      <c r="B37">
        <v>1033</v>
      </c>
      <c r="C37" t="s">
        <v>84</v>
      </c>
      <c r="D37" t="s">
        <v>44</v>
      </c>
      <c r="E37" t="s">
        <v>58</v>
      </c>
      <c r="F37">
        <v>22</v>
      </c>
      <c r="G37">
        <v>8</v>
      </c>
      <c r="H37" s="23" t="s">
        <v>118</v>
      </c>
      <c r="I37">
        <f t="shared" ref="I37:I54" si="1">PRODUCT(F37,G37)</f>
        <v>176</v>
      </c>
    </row>
    <row r="38" spans="2:9" x14ac:dyDescent="0.3">
      <c r="B38">
        <v>1034</v>
      </c>
      <c r="C38" t="s">
        <v>85</v>
      </c>
      <c r="D38" t="s">
        <v>47</v>
      </c>
      <c r="E38" t="s">
        <v>45</v>
      </c>
      <c r="F38">
        <v>17</v>
      </c>
      <c r="G38">
        <v>50</v>
      </c>
      <c r="H38" s="23" t="s">
        <v>119</v>
      </c>
      <c r="I38">
        <f t="shared" si="1"/>
        <v>850</v>
      </c>
    </row>
    <row r="39" spans="2:9" x14ac:dyDescent="0.3">
      <c r="B39">
        <v>1035</v>
      </c>
      <c r="C39" t="s">
        <v>86</v>
      </c>
      <c r="D39" t="s">
        <v>50</v>
      </c>
      <c r="E39" t="s">
        <v>48</v>
      </c>
      <c r="F39">
        <v>19</v>
      </c>
      <c r="G39">
        <v>10</v>
      </c>
      <c r="H39" s="23" t="s">
        <v>120</v>
      </c>
      <c r="I39">
        <f t="shared" si="1"/>
        <v>190</v>
      </c>
    </row>
    <row r="40" spans="2:9" x14ac:dyDescent="0.3">
      <c r="B40">
        <v>1036</v>
      </c>
      <c r="C40" t="s">
        <v>87</v>
      </c>
      <c r="D40" t="s">
        <v>53</v>
      </c>
      <c r="E40" t="s">
        <v>51</v>
      </c>
      <c r="F40">
        <v>15</v>
      </c>
      <c r="G40">
        <v>25</v>
      </c>
      <c r="H40" s="23" t="s">
        <v>121</v>
      </c>
      <c r="I40">
        <f t="shared" si="1"/>
        <v>375</v>
      </c>
    </row>
    <row r="41" spans="2:9" x14ac:dyDescent="0.3">
      <c r="B41">
        <v>1037</v>
      </c>
      <c r="C41" t="s">
        <v>88</v>
      </c>
      <c r="D41" t="s">
        <v>44</v>
      </c>
      <c r="E41" t="s">
        <v>55</v>
      </c>
      <c r="F41">
        <v>28</v>
      </c>
      <c r="G41">
        <v>5</v>
      </c>
      <c r="H41" s="23" t="s">
        <v>122</v>
      </c>
      <c r="I41">
        <f t="shared" si="1"/>
        <v>140</v>
      </c>
    </row>
    <row r="42" spans="2:9" x14ac:dyDescent="0.3">
      <c r="B42">
        <v>1038</v>
      </c>
      <c r="C42" t="s">
        <v>89</v>
      </c>
      <c r="D42" t="s">
        <v>47</v>
      </c>
      <c r="E42" t="s">
        <v>58</v>
      </c>
      <c r="F42">
        <v>24</v>
      </c>
      <c r="G42">
        <v>8</v>
      </c>
      <c r="H42" s="23" t="s">
        <v>123</v>
      </c>
      <c r="I42">
        <f t="shared" si="1"/>
        <v>192</v>
      </c>
    </row>
    <row r="43" spans="2:9" x14ac:dyDescent="0.3">
      <c r="B43">
        <v>1039</v>
      </c>
      <c r="C43" t="s">
        <v>90</v>
      </c>
      <c r="D43" t="s">
        <v>50</v>
      </c>
      <c r="E43" t="s">
        <v>45</v>
      </c>
      <c r="F43">
        <v>16</v>
      </c>
      <c r="G43">
        <v>50</v>
      </c>
      <c r="H43" s="23" t="s">
        <v>124</v>
      </c>
      <c r="I43">
        <f t="shared" si="1"/>
        <v>800</v>
      </c>
    </row>
    <row r="44" spans="2:9" x14ac:dyDescent="0.3">
      <c r="B44">
        <v>1040</v>
      </c>
      <c r="C44" t="s">
        <v>91</v>
      </c>
      <c r="D44" t="s">
        <v>53</v>
      </c>
      <c r="E44" t="s">
        <v>48</v>
      </c>
      <c r="F44">
        <v>27</v>
      </c>
      <c r="G44">
        <v>10</v>
      </c>
      <c r="H44" s="23" t="s">
        <v>125</v>
      </c>
      <c r="I44">
        <f t="shared" si="1"/>
        <v>270</v>
      </c>
    </row>
    <row r="45" spans="2:9" x14ac:dyDescent="0.3">
      <c r="B45">
        <v>1041</v>
      </c>
      <c r="C45" t="s">
        <v>92</v>
      </c>
      <c r="D45" t="s">
        <v>44</v>
      </c>
      <c r="E45" t="s">
        <v>51</v>
      </c>
      <c r="F45">
        <v>21</v>
      </c>
      <c r="G45">
        <v>25</v>
      </c>
      <c r="H45" s="23" t="s">
        <v>126</v>
      </c>
      <c r="I45">
        <f t="shared" si="1"/>
        <v>525</v>
      </c>
    </row>
    <row r="46" spans="2:9" x14ac:dyDescent="0.3">
      <c r="B46">
        <v>1042</v>
      </c>
      <c r="C46" t="s">
        <v>93</v>
      </c>
      <c r="D46" t="s">
        <v>47</v>
      </c>
      <c r="E46" t="s">
        <v>55</v>
      </c>
      <c r="F46">
        <v>30</v>
      </c>
      <c r="G46">
        <v>5</v>
      </c>
      <c r="H46" s="23" t="s">
        <v>127</v>
      </c>
      <c r="I46">
        <f t="shared" si="1"/>
        <v>150</v>
      </c>
    </row>
    <row r="47" spans="2:9" x14ac:dyDescent="0.3">
      <c r="B47">
        <v>1043</v>
      </c>
      <c r="C47" t="s">
        <v>94</v>
      </c>
      <c r="D47" t="s">
        <v>50</v>
      </c>
      <c r="E47" t="s">
        <v>58</v>
      </c>
      <c r="F47">
        <v>26</v>
      </c>
      <c r="G47">
        <v>8</v>
      </c>
      <c r="H47" s="24">
        <v>45294</v>
      </c>
      <c r="I47">
        <f t="shared" si="1"/>
        <v>208</v>
      </c>
    </row>
    <row r="48" spans="2:9" x14ac:dyDescent="0.3">
      <c r="B48">
        <v>1044</v>
      </c>
      <c r="C48" t="s">
        <v>95</v>
      </c>
      <c r="D48" t="s">
        <v>53</v>
      </c>
      <c r="E48" t="s">
        <v>45</v>
      </c>
      <c r="F48">
        <v>14</v>
      </c>
      <c r="G48">
        <v>50</v>
      </c>
      <c r="H48" s="24">
        <v>45325</v>
      </c>
      <c r="I48">
        <f t="shared" si="1"/>
        <v>700</v>
      </c>
    </row>
    <row r="49" spans="2:9" x14ac:dyDescent="0.3">
      <c r="B49">
        <v>1045</v>
      </c>
      <c r="C49" t="s">
        <v>96</v>
      </c>
      <c r="D49" t="s">
        <v>44</v>
      </c>
      <c r="E49" t="s">
        <v>48</v>
      </c>
      <c r="F49">
        <v>20</v>
      </c>
      <c r="G49">
        <v>10</v>
      </c>
      <c r="H49" s="24">
        <v>45354</v>
      </c>
      <c r="I49">
        <f t="shared" si="1"/>
        <v>200</v>
      </c>
    </row>
    <row r="50" spans="2:9" x14ac:dyDescent="0.3">
      <c r="B50">
        <v>1046</v>
      </c>
      <c r="C50" t="s">
        <v>97</v>
      </c>
      <c r="D50" t="s">
        <v>47</v>
      </c>
      <c r="E50" t="s">
        <v>51</v>
      </c>
      <c r="F50">
        <v>17</v>
      </c>
      <c r="G50">
        <v>25</v>
      </c>
      <c r="H50" s="24">
        <v>45385</v>
      </c>
      <c r="I50">
        <f t="shared" si="1"/>
        <v>425</v>
      </c>
    </row>
    <row r="51" spans="2:9" x14ac:dyDescent="0.3">
      <c r="B51">
        <v>1047</v>
      </c>
      <c r="C51" t="s">
        <v>98</v>
      </c>
      <c r="D51" t="s">
        <v>50</v>
      </c>
      <c r="E51" t="s">
        <v>55</v>
      </c>
      <c r="F51">
        <v>19</v>
      </c>
      <c r="G51">
        <v>5</v>
      </c>
      <c r="H51" s="24">
        <v>45415</v>
      </c>
      <c r="I51">
        <f t="shared" si="1"/>
        <v>95</v>
      </c>
    </row>
    <row r="52" spans="2:9" x14ac:dyDescent="0.3">
      <c r="B52">
        <v>1048</v>
      </c>
      <c r="C52" t="s">
        <v>99</v>
      </c>
      <c r="D52" t="s">
        <v>53</v>
      </c>
      <c r="E52" t="s">
        <v>58</v>
      </c>
      <c r="F52">
        <v>32</v>
      </c>
      <c r="G52">
        <v>8</v>
      </c>
      <c r="H52" s="24">
        <v>45446</v>
      </c>
      <c r="I52">
        <f t="shared" si="1"/>
        <v>256</v>
      </c>
    </row>
    <row r="53" spans="2:9" x14ac:dyDescent="0.3">
      <c r="B53">
        <v>1049</v>
      </c>
      <c r="C53" t="s">
        <v>100</v>
      </c>
      <c r="D53" t="s">
        <v>44</v>
      </c>
      <c r="E53" t="s">
        <v>45</v>
      </c>
      <c r="F53">
        <v>12</v>
      </c>
      <c r="G53">
        <v>50</v>
      </c>
      <c r="H53" s="24">
        <v>45476</v>
      </c>
      <c r="I53">
        <f t="shared" si="1"/>
        <v>600</v>
      </c>
    </row>
    <row r="54" spans="2:9" x14ac:dyDescent="0.3">
      <c r="B54">
        <v>1050</v>
      </c>
      <c r="C54" t="s">
        <v>101</v>
      </c>
      <c r="D54" t="s">
        <v>47</v>
      </c>
      <c r="E54" t="s">
        <v>48</v>
      </c>
      <c r="F54">
        <v>25</v>
      </c>
      <c r="G54">
        <v>10</v>
      </c>
      <c r="H54" s="24">
        <v>45507</v>
      </c>
      <c r="I54">
        <f t="shared" si="1"/>
        <v>250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33331-85AC-47A5-8436-7CCA9ACD5DD5}">
  <dimension ref="A1:K53"/>
  <sheetViews>
    <sheetView zoomScale="74" zoomScaleNormal="172" workbookViewId="0">
      <selection activeCell="Y36" sqref="Y36"/>
    </sheetView>
  </sheetViews>
  <sheetFormatPr defaultRowHeight="14.4" x14ac:dyDescent="0.3"/>
  <cols>
    <col min="2" max="2" width="9.44140625" customWidth="1"/>
    <col min="3" max="3" width="16" customWidth="1"/>
    <col min="5" max="5" width="9.5546875" customWidth="1"/>
    <col min="6" max="6" width="10.21875" customWidth="1"/>
    <col min="7" max="7" width="10.5546875" customWidth="1"/>
    <col min="8" max="9" width="11.5546875" customWidth="1"/>
  </cols>
  <sheetData>
    <row r="1" spans="1:11" ht="18" x14ac:dyDescent="0.35">
      <c r="A1" t="s">
        <v>143</v>
      </c>
      <c r="B1" s="4" t="s">
        <v>142</v>
      </c>
    </row>
    <row r="2" spans="1:11" x14ac:dyDescent="0.3">
      <c r="B2" s="22" t="s">
        <v>36</v>
      </c>
      <c r="C2" s="22" t="s">
        <v>37</v>
      </c>
      <c r="D2" s="22" t="s">
        <v>38</v>
      </c>
      <c r="E2" s="22" t="s">
        <v>39</v>
      </c>
      <c r="F2" s="22" t="s">
        <v>40</v>
      </c>
      <c r="G2" s="22" t="s">
        <v>41</v>
      </c>
      <c r="H2" s="22" t="s">
        <v>42</v>
      </c>
      <c r="I2" s="30" t="s">
        <v>141</v>
      </c>
      <c r="K2" t="s">
        <v>144</v>
      </c>
    </row>
    <row r="3" spans="1:11" x14ac:dyDescent="0.3">
      <c r="B3" s="23">
        <v>1001</v>
      </c>
      <c r="C3" s="29" t="s">
        <v>43</v>
      </c>
      <c r="D3" s="29" t="s">
        <v>44</v>
      </c>
      <c r="E3" s="29" t="s">
        <v>45</v>
      </c>
      <c r="F3" s="23">
        <v>10</v>
      </c>
      <c r="G3" s="23">
        <v>50</v>
      </c>
      <c r="H3" s="24">
        <v>45296</v>
      </c>
      <c r="I3">
        <v>500</v>
      </c>
    </row>
    <row r="4" spans="1:11" x14ac:dyDescent="0.3">
      <c r="B4" s="23">
        <v>1002</v>
      </c>
      <c r="C4" s="29" t="s">
        <v>46</v>
      </c>
      <c r="D4" s="29" t="s">
        <v>47</v>
      </c>
      <c r="E4" s="29" t="s">
        <v>48</v>
      </c>
      <c r="F4" s="23">
        <v>20</v>
      </c>
      <c r="G4" s="23">
        <v>10</v>
      </c>
      <c r="H4" s="24">
        <v>45444</v>
      </c>
      <c r="I4">
        <f t="shared" ref="I4:I52" si="0">PRODUCT(F4,G4)</f>
        <v>200</v>
      </c>
    </row>
    <row r="5" spans="1:11" x14ac:dyDescent="0.3">
      <c r="B5" s="23">
        <v>1003</v>
      </c>
      <c r="C5" s="29" t="s">
        <v>49</v>
      </c>
      <c r="D5" s="29" t="s">
        <v>50</v>
      </c>
      <c r="E5" s="29" t="s">
        <v>51</v>
      </c>
      <c r="F5" s="23">
        <v>15</v>
      </c>
      <c r="G5" s="23">
        <v>25</v>
      </c>
      <c r="H5" s="24">
        <v>45474</v>
      </c>
      <c r="I5">
        <f t="shared" si="0"/>
        <v>375</v>
      </c>
    </row>
    <row r="6" spans="1:11" x14ac:dyDescent="0.3">
      <c r="B6" s="23">
        <v>1004</v>
      </c>
      <c r="C6" s="29" t="s">
        <v>52</v>
      </c>
      <c r="D6" s="29" t="s">
        <v>53</v>
      </c>
      <c r="E6" s="29" t="s">
        <v>45</v>
      </c>
      <c r="F6" s="23">
        <v>5</v>
      </c>
      <c r="G6" s="23">
        <v>50</v>
      </c>
      <c r="H6" s="24">
        <v>45505</v>
      </c>
      <c r="I6">
        <f t="shared" si="0"/>
        <v>250</v>
      </c>
    </row>
    <row r="7" spans="1:11" x14ac:dyDescent="0.3">
      <c r="B7" s="23">
        <v>1005</v>
      </c>
      <c r="C7" s="29" t="s">
        <v>54</v>
      </c>
      <c r="D7" s="29" t="s">
        <v>44</v>
      </c>
      <c r="E7" s="29" t="s">
        <v>55</v>
      </c>
      <c r="F7" s="23">
        <v>30</v>
      </c>
      <c r="G7" s="23">
        <v>5</v>
      </c>
      <c r="H7" s="24">
        <v>45566</v>
      </c>
      <c r="I7">
        <f t="shared" si="0"/>
        <v>150</v>
      </c>
    </row>
    <row r="8" spans="1:11" x14ac:dyDescent="0.3">
      <c r="B8" s="23">
        <v>1006</v>
      </c>
      <c r="C8" s="29" t="s">
        <v>56</v>
      </c>
      <c r="D8" s="29" t="s">
        <v>47</v>
      </c>
      <c r="E8" s="29" t="s">
        <v>45</v>
      </c>
      <c r="F8" s="23">
        <v>12</v>
      </c>
      <c r="G8" s="23">
        <v>50</v>
      </c>
      <c r="H8" s="24">
        <v>45597</v>
      </c>
      <c r="I8">
        <f t="shared" si="0"/>
        <v>600</v>
      </c>
    </row>
    <row r="9" spans="1:11" x14ac:dyDescent="0.3">
      <c r="B9" s="23">
        <v>1007</v>
      </c>
      <c r="C9" s="29" t="s">
        <v>57</v>
      </c>
      <c r="D9" s="29" t="s">
        <v>50</v>
      </c>
      <c r="E9" s="29" t="s">
        <v>58</v>
      </c>
      <c r="F9" s="23">
        <v>25</v>
      </c>
      <c r="G9" s="23">
        <v>8</v>
      </c>
      <c r="H9" s="23" t="s">
        <v>102</v>
      </c>
      <c r="I9">
        <f t="shared" si="0"/>
        <v>200</v>
      </c>
    </row>
    <row r="10" spans="1:11" x14ac:dyDescent="0.3">
      <c r="B10" s="23">
        <v>1008</v>
      </c>
      <c r="C10" s="29" t="s">
        <v>59</v>
      </c>
      <c r="D10" s="29" t="s">
        <v>53</v>
      </c>
      <c r="E10" s="29" t="s">
        <v>48</v>
      </c>
      <c r="F10" s="23">
        <v>18</v>
      </c>
      <c r="G10" s="23">
        <v>10</v>
      </c>
      <c r="H10" s="23" t="s">
        <v>103</v>
      </c>
      <c r="I10">
        <f t="shared" si="0"/>
        <v>180</v>
      </c>
    </row>
    <row r="11" spans="1:11" x14ac:dyDescent="0.3">
      <c r="B11" s="23">
        <v>1009</v>
      </c>
      <c r="C11" s="29" t="s">
        <v>60</v>
      </c>
      <c r="D11" s="29" t="s">
        <v>44</v>
      </c>
      <c r="E11" s="29" t="s">
        <v>51</v>
      </c>
      <c r="F11" s="23">
        <v>22</v>
      </c>
      <c r="G11" s="23">
        <v>25</v>
      </c>
      <c r="H11" s="23" t="s">
        <v>104</v>
      </c>
      <c r="I11">
        <f t="shared" si="0"/>
        <v>550</v>
      </c>
    </row>
    <row r="12" spans="1:11" x14ac:dyDescent="0.3">
      <c r="B12" s="23">
        <v>1010</v>
      </c>
      <c r="C12" s="29" t="s">
        <v>61</v>
      </c>
      <c r="D12" s="29" t="s">
        <v>47</v>
      </c>
      <c r="E12" s="29" t="s">
        <v>45</v>
      </c>
      <c r="F12" s="23">
        <v>8</v>
      </c>
      <c r="G12" s="23">
        <v>50</v>
      </c>
      <c r="H12" s="23" t="s">
        <v>105</v>
      </c>
      <c r="I12">
        <f t="shared" si="0"/>
        <v>400</v>
      </c>
    </row>
    <row r="13" spans="1:11" x14ac:dyDescent="0.3">
      <c r="B13" s="23">
        <v>1011</v>
      </c>
      <c r="C13" s="29" t="s">
        <v>62</v>
      </c>
      <c r="D13" s="29" t="s">
        <v>50</v>
      </c>
      <c r="E13" s="29" t="s">
        <v>55</v>
      </c>
      <c r="F13" s="23">
        <v>40</v>
      </c>
      <c r="G13" s="23">
        <v>5</v>
      </c>
      <c r="H13" s="23" t="s">
        <v>106</v>
      </c>
      <c r="I13">
        <f t="shared" si="0"/>
        <v>200</v>
      </c>
    </row>
    <row r="14" spans="1:11" x14ac:dyDescent="0.3">
      <c r="B14" s="23">
        <v>1012</v>
      </c>
      <c r="C14" s="29" t="s">
        <v>63</v>
      </c>
      <c r="D14" s="29" t="s">
        <v>53</v>
      </c>
      <c r="E14" s="29" t="s">
        <v>58</v>
      </c>
      <c r="F14" s="23">
        <v>35</v>
      </c>
      <c r="G14" s="23">
        <v>8</v>
      </c>
      <c r="H14" s="23" t="s">
        <v>107</v>
      </c>
      <c r="I14">
        <f t="shared" si="0"/>
        <v>280</v>
      </c>
    </row>
    <row r="15" spans="1:11" x14ac:dyDescent="0.3">
      <c r="B15" s="23">
        <v>1013</v>
      </c>
      <c r="C15" s="29" t="s">
        <v>64</v>
      </c>
      <c r="D15" s="29" t="s">
        <v>44</v>
      </c>
      <c r="E15" s="29" t="s">
        <v>45</v>
      </c>
      <c r="F15" s="23">
        <v>14</v>
      </c>
      <c r="G15" s="23">
        <v>50</v>
      </c>
      <c r="H15" s="23" t="s">
        <v>108</v>
      </c>
      <c r="I15">
        <f t="shared" si="0"/>
        <v>700</v>
      </c>
    </row>
    <row r="16" spans="1:11" x14ac:dyDescent="0.3">
      <c r="B16" s="23">
        <v>1014</v>
      </c>
      <c r="C16" s="29" t="s">
        <v>65</v>
      </c>
      <c r="D16" s="29" t="s">
        <v>47</v>
      </c>
      <c r="E16" s="29" t="s">
        <v>48</v>
      </c>
      <c r="F16" s="23">
        <v>28</v>
      </c>
      <c r="G16" s="23">
        <v>10</v>
      </c>
      <c r="H16" s="23" t="s">
        <v>109</v>
      </c>
      <c r="I16">
        <f t="shared" si="0"/>
        <v>280</v>
      </c>
    </row>
    <row r="17" spans="2:9" x14ac:dyDescent="0.3">
      <c r="B17" s="23">
        <v>1015</v>
      </c>
      <c r="C17" s="29" t="s">
        <v>66</v>
      </c>
      <c r="D17" s="29" t="s">
        <v>50</v>
      </c>
      <c r="E17" s="29" t="s">
        <v>51</v>
      </c>
      <c r="F17" s="23">
        <v>12</v>
      </c>
      <c r="G17" s="23">
        <v>25</v>
      </c>
      <c r="H17" s="23" t="s">
        <v>110</v>
      </c>
      <c r="I17">
        <f t="shared" si="0"/>
        <v>300</v>
      </c>
    </row>
    <row r="18" spans="2:9" x14ac:dyDescent="0.3">
      <c r="B18" s="23">
        <v>1016</v>
      </c>
      <c r="C18" s="29" t="s">
        <v>67</v>
      </c>
      <c r="D18" s="29" t="s">
        <v>53</v>
      </c>
      <c r="E18" s="29" t="s">
        <v>55</v>
      </c>
      <c r="F18" s="23">
        <v>25</v>
      </c>
      <c r="G18" s="23">
        <v>5</v>
      </c>
      <c r="H18" s="23" t="s">
        <v>111</v>
      </c>
      <c r="I18">
        <f t="shared" si="0"/>
        <v>125</v>
      </c>
    </row>
    <row r="19" spans="2:9" x14ac:dyDescent="0.3">
      <c r="B19" s="23">
        <v>1017</v>
      </c>
      <c r="C19" s="29" t="s">
        <v>68</v>
      </c>
      <c r="D19" s="29" t="s">
        <v>44</v>
      </c>
      <c r="E19" s="29" t="s">
        <v>58</v>
      </c>
      <c r="F19" s="23">
        <v>20</v>
      </c>
      <c r="G19" s="23">
        <v>8</v>
      </c>
      <c r="H19" s="23" t="s">
        <v>112</v>
      </c>
      <c r="I19">
        <f t="shared" si="0"/>
        <v>160</v>
      </c>
    </row>
    <row r="20" spans="2:9" x14ac:dyDescent="0.3">
      <c r="B20" s="23">
        <v>1018</v>
      </c>
      <c r="C20" s="29" t="s">
        <v>69</v>
      </c>
      <c r="D20" s="29" t="s">
        <v>47</v>
      </c>
      <c r="E20" s="29" t="s">
        <v>45</v>
      </c>
      <c r="F20" s="23">
        <v>10</v>
      </c>
      <c r="G20" s="23">
        <v>50</v>
      </c>
      <c r="H20" s="23" t="s">
        <v>113</v>
      </c>
      <c r="I20">
        <f t="shared" si="0"/>
        <v>500</v>
      </c>
    </row>
    <row r="21" spans="2:9" x14ac:dyDescent="0.3">
      <c r="B21" s="23">
        <v>1019</v>
      </c>
      <c r="C21" s="29" t="s">
        <v>70</v>
      </c>
      <c r="D21" s="29" t="s">
        <v>50</v>
      </c>
      <c r="E21" s="29" t="s">
        <v>48</v>
      </c>
      <c r="F21" s="23">
        <v>15</v>
      </c>
      <c r="G21" s="23">
        <v>10</v>
      </c>
      <c r="H21" s="23" t="s">
        <v>114</v>
      </c>
      <c r="I21">
        <f t="shared" si="0"/>
        <v>150</v>
      </c>
    </row>
    <row r="22" spans="2:9" x14ac:dyDescent="0.3">
      <c r="B22" s="23">
        <v>1020</v>
      </c>
      <c r="C22" s="29" t="s">
        <v>71</v>
      </c>
      <c r="D22" s="29" t="s">
        <v>53</v>
      </c>
      <c r="E22" s="29" t="s">
        <v>51</v>
      </c>
      <c r="F22" s="23">
        <v>18</v>
      </c>
      <c r="G22" s="23">
        <v>25</v>
      </c>
      <c r="H22" s="24">
        <v>45293</v>
      </c>
      <c r="I22">
        <f t="shared" si="0"/>
        <v>450</v>
      </c>
    </row>
    <row r="23" spans="2:9" x14ac:dyDescent="0.3">
      <c r="B23" s="23">
        <v>1021</v>
      </c>
      <c r="C23" s="29" t="s">
        <v>72</v>
      </c>
      <c r="D23" s="29" t="s">
        <v>44</v>
      </c>
      <c r="E23" s="29" t="s">
        <v>45</v>
      </c>
      <c r="F23" s="23">
        <v>9</v>
      </c>
      <c r="G23" s="23">
        <v>50</v>
      </c>
      <c r="H23" s="24">
        <v>45324</v>
      </c>
      <c r="I23">
        <f t="shared" si="0"/>
        <v>450</v>
      </c>
    </row>
    <row r="24" spans="2:9" x14ac:dyDescent="0.3">
      <c r="B24" s="23">
        <v>1022</v>
      </c>
      <c r="C24" s="29" t="s">
        <v>73</v>
      </c>
      <c r="D24" s="29" t="s">
        <v>47</v>
      </c>
      <c r="E24" s="29" t="s">
        <v>55</v>
      </c>
      <c r="F24" s="23">
        <v>35</v>
      </c>
      <c r="G24" s="23">
        <v>5</v>
      </c>
      <c r="H24" s="24">
        <v>45353</v>
      </c>
      <c r="I24">
        <f t="shared" si="0"/>
        <v>175</v>
      </c>
    </row>
    <row r="25" spans="2:9" x14ac:dyDescent="0.3">
      <c r="B25" s="23">
        <v>1023</v>
      </c>
      <c r="C25" s="29" t="s">
        <v>74</v>
      </c>
      <c r="D25" s="29" t="s">
        <v>50</v>
      </c>
      <c r="E25" s="29" t="s">
        <v>58</v>
      </c>
      <c r="F25" s="23">
        <v>30</v>
      </c>
      <c r="G25" s="23">
        <v>8</v>
      </c>
      <c r="H25" s="24">
        <v>45384</v>
      </c>
      <c r="I25">
        <f t="shared" si="0"/>
        <v>240</v>
      </c>
    </row>
    <row r="26" spans="2:9" x14ac:dyDescent="0.3">
      <c r="B26" s="23">
        <v>1024</v>
      </c>
      <c r="C26" s="29" t="s">
        <v>75</v>
      </c>
      <c r="D26" s="29" t="s">
        <v>53</v>
      </c>
      <c r="E26" s="29" t="s">
        <v>45</v>
      </c>
      <c r="F26" s="23">
        <v>11</v>
      </c>
      <c r="G26" s="23">
        <v>50</v>
      </c>
      <c r="H26" s="24">
        <v>45445</v>
      </c>
      <c r="I26">
        <f t="shared" si="0"/>
        <v>550</v>
      </c>
    </row>
    <row r="27" spans="2:9" x14ac:dyDescent="0.3">
      <c r="B27" s="23">
        <v>1025</v>
      </c>
      <c r="C27" s="29" t="s">
        <v>76</v>
      </c>
      <c r="D27" s="29" t="s">
        <v>44</v>
      </c>
      <c r="E27" s="29" t="s">
        <v>48</v>
      </c>
      <c r="F27" s="23">
        <v>14</v>
      </c>
      <c r="G27" s="23">
        <v>10</v>
      </c>
      <c r="H27" s="24">
        <v>45475</v>
      </c>
      <c r="I27">
        <f t="shared" si="0"/>
        <v>140</v>
      </c>
    </row>
    <row r="28" spans="2:9" x14ac:dyDescent="0.3">
      <c r="B28" s="23">
        <v>1026</v>
      </c>
      <c r="C28" s="29" t="s">
        <v>77</v>
      </c>
      <c r="D28" s="29" t="s">
        <v>47</v>
      </c>
      <c r="E28" s="29" t="s">
        <v>51</v>
      </c>
      <c r="F28" s="23">
        <v>16</v>
      </c>
      <c r="G28" s="23">
        <v>25</v>
      </c>
      <c r="H28" s="24">
        <v>45506</v>
      </c>
      <c r="I28">
        <f t="shared" si="0"/>
        <v>400</v>
      </c>
    </row>
    <row r="29" spans="2:9" x14ac:dyDescent="0.3">
      <c r="B29" s="23">
        <v>1027</v>
      </c>
      <c r="C29" s="29" t="s">
        <v>78</v>
      </c>
      <c r="D29" s="29" t="s">
        <v>50</v>
      </c>
      <c r="E29" s="29" t="s">
        <v>55</v>
      </c>
      <c r="F29" s="23">
        <v>22</v>
      </c>
      <c r="G29" s="23">
        <v>5</v>
      </c>
      <c r="H29" s="24">
        <v>45537</v>
      </c>
      <c r="I29">
        <f t="shared" si="0"/>
        <v>110</v>
      </c>
    </row>
    <row r="30" spans="2:9" x14ac:dyDescent="0.3">
      <c r="B30" s="23">
        <v>1028</v>
      </c>
      <c r="C30" s="29" t="s">
        <v>79</v>
      </c>
      <c r="D30" s="29" t="s">
        <v>53</v>
      </c>
      <c r="E30" s="29" t="s">
        <v>58</v>
      </c>
      <c r="F30" s="23">
        <v>27</v>
      </c>
      <c r="G30" s="23">
        <v>8</v>
      </c>
      <c r="H30" s="24">
        <v>45567</v>
      </c>
      <c r="I30">
        <f t="shared" si="0"/>
        <v>216</v>
      </c>
    </row>
    <row r="31" spans="2:9" x14ac:dyDescent="0.3">
      <c r="B31" s="23">
        <v>1029</v>
      </c>
      <c r="C31" s="29" t="s">
        <v>80</v>
      </c>
      <c r="D31" s="29" t="s">
        <v>44</v>
      </c>
      <c r="E31" s="29" t="s">
        <v>45</v>
      </c>
      <c r="F31" s="23">
        <v>13</v>
      </c>
      <c r="G31" s="23">
        <v>50</v>
      </c>
      <c r="H31" s="24">
        <v>45628</v>
      </c>
      <c r="I31">
        <f t="shared" si="0"/>
        <v>650</v>
      </c>
    </row>
    <row r="32" spans="2:9" x14ac:dyDescent="0.3">
      <c r="B32" s="23">
        <v>1030</v>
      </c>
      <c r="C32" s="29" t="s">
        <v>81</v>
      </c>
      <c r="D32" s="29" t="s">
        <v>47</v>
      </c>
      <c r="E32" s="29" t="s">
        <v>48</v>
      </c>
      <c r="F32" s="23">
        <v>32</v>
      </c>
      <c r="G32" s="23">
        <v>10</v>
      </c>
      <c r="H32" s="23" t="s">
        <v>115</v>
      </c>
      <c r="I32">
        <f t="shared" si="0"/>
        <v>320</v>
      </c>
    </row>
    <row r="33" spans="2:9" x14ac:dyDescent="0.3">
      <c r="B33" s="23">
        <v>1031</v>
      </c>
      <c r="C33" s="29" t="s">
        <v>82</v>
      </c>
      <c r="D33" s="29" t="s">
        <v>50</v>
      </c>
      <c r="E33" s="29" t="s">
        <v>51</v>
      </c>
      <c r="F33" s="23">
        <v>10</v>
      </c>
      <c r="G33" s="23">
        <v>25</v>
      </c>
      <c r="H33" s="23" t="s">
        <v>116</v>
      </c>
      <c r="I33">
        <f t="shared" si="0"/>
        <v>250</v>
      </c>
    </row>
    <row r="34" spans="2:9" x14ac:dyDescent="0.3">
      <c r="B34" s="23">
        <v>1032</v>
      </c>
      <c r="C34" s="29" t="s">
        <v>83</v>
      </c>
      <c r="D34" s="29" t="s">
        <v>53</v>
      </c>
      <c r="E34" s="29" t="s">
        <v>55</v>
      </c>
      <c r="F34" s="23">
        <v>18</v>
      </c>
      <c r="G34" s="23">
        <v>5</v>
      </c>
      <c r="H34" s="23" t="s">
        <v>117</v>
      </c>
      <c r="I34">
        <f t="shared" si="0"/>
        <v>90</v>
      </c>
    </row>
    <row r="35" spans="2:9" x14ac:dyDescent="0.3">
      <c r="B35" s="23">
        <v>1033</v>
      </c>
      <c r="C35" s="29" t="s">
        <v>84</v>
      </c>
      <c r="D35" s="29" t="s">
        <v>44</v>
      </c>
      <c r="E35" s="29" t="s">
        <v>58</v>
      </c>
      <c r="F35" s="23">
        <v>22</v>
      </c>
      <c r="G35" s="23">
        <v>8</v>
      </c>
      <c r="H35" s="23" t="s">
        <v>118</v>
      </c>
      <c r="I35">
        <f t="shared" si="0"/>
        <v>176</v>
      </c>
    </row>
    <row r="36" spans="2:9" x14ac:dyDescent="0.3">
      <c r="B36" s="23">
        <v>1034</v>
      </c>
      <c r="C36" s="29" t="s">
        <v>85</v>
      </c>
      <c r="D36" s="29" t="s">
        <v>47</v>
      </c>
      <c r="E36" s="29" t="s">
        <v>45</v>
      </c>
      <c r="F36" s="23">
        <v>17</v>
      </c>
      <c r="G36" s="23">
        <v>50</v>
      </c>
      <c r="H36" s="23" t="s">
        <v>119</v>
      </c>
      <c r="I36">
        <f t="shared" si="0"/>
        <v>850</v>
      </c>
    </row>
    <row r="37" spans="2:9" x14ac:dyDescent="0.3">
      <c r="B37" s="23">
        <v>1035</v>
      </c>
      <c r="C37" s="29" t="s">
        <v>86</v>
      </c>
      <c r="D37" s="29" t="s">
        <v>50</v>
      </c>
      <c r="E37" s="29" t="s">
        <v>48</v>
      </c>
      <c r="F37" s="23">
        <v>19</v>
      </c>
      <c r="G37" s="23">
        <v>10</v>
      </c>
      <c r="H37" s="23" t="s">
        <v>120</v>
      </c>
      <c r="I37">
        <f t="shared" si="0"/>
        <v>190</v>
      </c>
    </row>
    <row r="38" spans="2:9" x14ac:dyDescent="0.3">
      <c r="B38" s="23">
        <v>1036</v>
      </c>
      <c r="C38" s="29" t="s">
        <v>87</v>
      </c>
      <c r="D38" s="29" t="s">
        <v>53</v>
      </c>
      <c r="E38" s="29" t="s">
        <v>51</v>
      </c>
      <c r="F38" s="23">
        <v>15</v>
      </c>
      <c r="G38" s="23">
        <v>25</v>
      </c>
      <c r="H38" s="23" t="s">
        <v>121</v>
      </c>
      <c r="I38">
        <f t="shared" si="0"/>
        <v>375</v>
      </c>
    </row>
    <row r="39" spans="2:9" x14ac:dyDescent="0.3">
      <c r="B39" s="23">
        <v>1037</v>
      </c>
      <c r="C39" s="29" t="s">
        <v>88</v>
      </c>
      <c r="D39" s="29" t="s">
        <v>44</v>
      </c>
      <c r="E39" s="29" t="s">
        <v>55</v>
      </c>
      <c r="F39" s="23">
        <v>28</v>
      </c>
      <c r="G39" s="23">
        <v>5</v>
      </c>
      <c r="H39" s="23" t="s">
        <v>122</v>
      </c>
      <c r="I39">
        <f t="shared" si="0"/>
        <v>140</v>
      </c>
    </row>
    <row r="40" spans="2:9" x14ac:dyDescent="0.3">
      <c r="B40" s="23">
        <v>1038</v>
      </c>
      <c r="C40" s="29" t="s">
        <v>89</v>
      </c>
      <c r="D40" s="29" t="s">
        <v>47</v>
      </c>
      <c r="E40" s="29" t="s">
        <v>58</v>
      </c>
      <c r="F40" s="23">
        <v>24</v>
      </c>
      <c r="G40" s="23">
        <v>8</v>
      </c>
      <c r="H40" s="23" t="s">
        <v>123</v>
      </c>
      <c r="I40">
        <f t="shared" si="0"/>
        <v>192</v>
      </c>
    </row>
    <row r="41" spans="2:9" x14ac:dyDescent="0.3">
      <c r="B41" s="23">
        <v>1039</v>
      </c>
      <c r="C41" s="29" t="s">
        <v>90</v>
      </c>
      <c r="D41" s="29" t="s">
        <v>50</v>
      </c>
      <c r="E41" s="29" t="s">
        <v>45</v>
      </c>
      <c r="F41" s="23">
        <v>16</v>
      </c>
      <c r="G41" s="23">
        <v>50</v>
      </c>
      <c r="H41" s="23" t="s">
        <v>124</v>
      </c>
      <c r="I41">
        <f t="shared" si="0"/>
        <v>800</v>
      </c>
    </row>
    <row r="42" spans="2:9" x14ac:dyDescent="0.3">
      <c r="B42" s="23">
        <v>1040</v>
      </c>
      <c r="C42" s="29" t="s">
        <v>91</v>
      </c>
      <c r="D42" s="29" t="s">
        <v>53</v>
      </c>
      <c r="E42" s="29" t="s">
        <v>48</v>
      </c>
      <c r="F42" s="23">
        <v>27</v>
      </c>
      <c r="G42" s="23">
        <v>10</v>
      </c>
      <c r="H42" s="23" t="s">
        <v>125</v>
      </c>
      <c r="I42">
        <f t="shared" si="0"/>
        <v>270</v>
      </c>
    </row>
    <row r="43" spans="2:9" x14ac:dyDescent="0.3">
      <c r="B43" s="23">
        <v>1041</v>
      </c>
      <c r="C43" s="29" t="s">
        <v>92</v>
      </c>
      <c r="D43" s="29" t="s">
        <v>44</v>
      </c>
      <c r="E43" s="29" t="s">
        <v>51</v>
      </c>
      <c r="F43" s="23">
        <v>21</v>
      </c>
      <c r="G43" s="23">
        <v>25</v>
      </c>
      <c r="H43" s="23" t="s">
        <v>126</v>
      </c>
      <c r="I43">
        <f t="shared" si="0"/>
        <v>525</v>
      </c>
    </row>
    <row r="44" spans="2:9" x14ac:dyDescent="0.3">
      <c r="B44" s="23">
        <v>1042</v>
      </c>
      <c r="C44" s="29" t="s">
        <v>93</v>
      </c>
      <c r="D44" s="29" t="s">
        <v>47</v>
      </c>
      <c r="E44" s="29" t="s">
        <v>55</v>
      </c>
      <c r="F44" s="23">
        <v>30</v>
      </c>
      <c r="G44" s="23">
        <v>5</v>
      </c>
      <c r="H44" s="23" t="s">
        <v>127</v>
      </c>
      <c r="I44">
        <f t="shared" si="0"/>
        <v>150</v>
      </c>
    </row>
    <row r="45" spans="2:9" x14ac:dyDescent="0.3">
      <c r="B45" s="23">
        <v>1043</v>
      </c>
      <c r="C45" s="29" t="s">
        <v>94</v>
      </c>
      <c r="D45" s="29" t="s">
        <v>50</v>
      </c>
      <c r="E45" s="29" t="s">
        <v>58</v>
      </c>
      <c r="F45" s="23">
        <v>26</v>
      </c>
      <c r="G45" s="23">
        <v>8</v>
      </c>
      <c r="H45" s="24">
        <v>45294</v>
      </c>
      <c r="I45">
        <f t="shared" si="0"/>
        <v>208</v>
      </c>
    </row>
    <row r="46" spans="2:9" x14ac:dyDescent="0.3">
      <c r="B46" s="23">
        <v>1044</v>
      </c>
      <c r="C46" s="29" t="s">
        <v>95</v>
      </c>
      <c r="D46" s="29" t="s">
        <v>53</v>
      </c>
      <c r="E46" s="29" t="s">
        <v>45</v>
      </c>
      <c r="F46" s="23">
        <v>14</v>
      </c>
      <c r="G46" s="23">
        <v>50</v>
      </c>
      <c r="H46" s="24">
        <v>45325</v>
      </c>
      <c r="I46">
        <f t="shared" si="0"/>
        <v>700</v>
      </c>
    </row>
    <row r="47" spans="2:9" x14ac:dyDescent="0.3">
      <c r="B47" s="23">
        <v>1045</v>
      </c>
      <c r="C47" s="29" t="s">
        <v>96</v>
      </c>
      <c r="D47" s="29" t="s">
        <v>44</v>
      </c>
      <c r="E47" s="29" t="s">
        <v>48</v>
      </c>
      <c r="F47" s="23">
        <v>20</v>
      </c>
      <c r="G47" s="23">
        <v>10</v>
      </c>
      <c r="H47" s="24">
        <v>45354</v>
      </c>
      <c r="I47">
        <f t="shared" si="0"/>
        <v>200</v>
      </c>
    </row>
    <row r="48" spans="2:9" x14ac:dyDescent="0.3">
      <c r="B48" s="23">
        <v>1046</v>
      </c>
      <c r="C48" s="29" t="s">
        <v>97</v>
      </c>
      <c r="D48" s="29" t="s">
        <v>47</v>
      </c>
      <c r="E48" s="29" t="s">
        <v>51</v>
      </c>
      <c r="F48" s="23">
        <v>17</v>
      </c>
      <c r="G48" s="23">
        <v>25</v>
      </c>
      <c r="H48" s="24">
        <v>45385</v>
      </c>
      <c r="I48">
        <f t="shared" si="0"/>
        <v>425</v>
      </c>
    </row>
    <row r="49" spans="2:9" x14ac:dyDescent="0.3">
      <c r="B49" s="23">
        <v>1047</v>
      </c>
      <c r="C49" s="29" t="s">
        <v>98</v>
      </c>
      <c r="D49" s="29" t="s">
        <v>50</v>
      </c>
      <c r="E49" s="29" t="s">
        <v>55</v>
      </c>
      <c r="F49" s="23">
        <v>19</v>
      </c>
      <c r="G49" s="23">
        <v>5</v>
      </c>
      <c r="H49" s="24">
        <v>45415</v>
      </c>
      <c r="I49">
        <f t="shared" si="0"/>
        <v>95</v>
      </c>
    </row>
    <row r="50" spans="2:9" x14ac:dyDescent="0.3">
      <c r="B50" s="23">
        <v>1048</v>
      </c>
      <c r="C50" s="29" t="s">
        <v>99</v>
      </c>
      <c r="D50" s="29" t="s">
        <v>53</v>
      </c>
      <c r="E50" s="29" t="s">
        <v>58</v>
      </c>
      <c r="F50" s="23">
        <v>32</v>
      </c>
      <c r="G50" s="23">
        <v>8</v>
      </c>
      <c r="H50" s="24">
        <v>45446</v>
      </c>
      <c r="I50">
        <f t="shared" si="0"/>
        <v>256</v>
      </c>
    </row>
    <row r="51" spans="2:9" x14ac:dyDescent="0.3">
      <c r="B51" s="23">
        <v>1049</v>
      </c>
      <c r="C51" s="29" t="s">
        <v>100</v>
      </c>
      <c r="D51" s="29" t="s">
        <v>44</v>
      </c>
      <c r="E51" s="29" t="s">
        <v>45</v>
      </c>
      <c r="F51" s="23">
        <v>12</v>
      </c>
      <c r="G51" s="23">
        <v>50</v>
      </c>
      <c r="H51" s="24">
        <v>45476</v>
      </c>
      <c r="I51">
        <f t="shared" si="0"/>
        <v>600</v>
      </c>
    </row>
    <row r="52" spans="2:9" x14ac:dyDescent="0.3">
      <c r="B52" s="23">
        <v>1050</v>
      </c>
      <c r="C52" s="29" t="s">
        <v>101</v>
      </c>
      <c r="D52" s="29" t="s">
        <v>47</v>
      </c>
      <c r="E52" s="29" t="s">
        <v>48</v>
      </c>
      <c r="F52" s="23">
        <v>25</v>
      </c>
      <c r="G52" s="23">
        <v>10</v>
      </c>
      <c r="H52" s="24">
        <v>45507</v>
      </c>
      <c r="I52">
        <f t="shared" si="0"/>
        <v>250</v>
      </c>
    </row>
    <row r="53" spans="2:9" x14ac:dyDescent="0.3">
      <c r="B53" s="29"/>
      <c r="C53" s="29"/>
      <c r="D53" s="29"/>
      <c r="E53" s="29"/>
      <c r="F53" s="29"/>
      <c r="G53" s="29"/>
      <c r="H53" s="29"/>
    </row>
  </sheetData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minAxisType="group" xr2:uid="{AC5BADCF-6121-42BB-9982-BC0504B96BEC}">
          <x14:colorSeries rgb="FF32323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QUESTION7!E2:E52</xm:f>
              <xm:sqref>L4</xm:sqref>
            </x14:sparkline>
          </x14:sparklines>
        </x14:sparklineGroup>
      </x14:sparklineGroup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C3C26-9274-4C61-B20A-58B425486962}">
  <dimension ref="A1:L54"/>
  <sheetViews>
    <sheetView workbookViewId="0">
      <selection activeCell="L2" sqref="L2"/>
    </sheetView>
  </sheetViews>
  <sheetFormatPr defaultRowHeight="14.4" x14ac:dyDescent="0.3"/>
  <cols>
    <col min="8" max="8" width="10.33203125" bestFit="1" customWidth="1"/>
  </cols>
  <sheetData>
    <row r="1" spans="1:12" s="4" customFormat="1" ht="18" x14ac:dyDescent="0.35">
      <c r="A1" s="4" t="s">
        <v>146</v>
      </c>
      <c r="B1" s="4" t="s">
        <v>145</v>
      </c>
    </row>
    <row r="2" spans="1:12" x14ac:dyDescent="0.3">
      <c r="L2" t="s">
        <v>2</v>
      </c>
    </row>
    <row r="3" spans="1:12" x14ac:dyDescent="0.3">
      <c r="B3" s="22" t="s">
        <v>36</v>
      </c>
      <c r="C3" s="22" t="s">
        <v>37</v>
      </c>
      <c r="D3" s="22" t="s">
        <v>38</v>
      </c>
      <c r="E3" s="22" t="s">
        <v>39</v>
      </c>
      <c r="F3" s="22" t="s">
        <v>40</v>
      </c>
      <c r="G3" s="22" t="s">
        <v>41</v>
      </c>
      <c r="H3" s="22" t="s">
        <v>42</v>
      </c>
      <c r="I3" s="30" t="s">
        <v>141</v>
      </c>
    </row>
    <row r="4" spans="1:12" x14ac:dyDescent="0.3">
      <c r="B4" s="23">
        <v>1001</v>
      </c>
      <c r="C4" s="29" t="s">
        <v>43</v>
      </c>
      <c r="D4" s="29" t="s">
        <v>44</v>
      </c>
      <c r="E4" s="29" t="s">
        <v>45</v>
      </c>
      <c r="F4" s="23">
        <v>10</v>
      </c>
      <c r="G4" s="23">
        <v>50</v>
      </c>
      <c r="H4" s="24">
        <v>45296</v>
      </c>
      <c r="I4">
        <f>PRODUCT(F4,G4)</f>
        <v>500</v>
      </c>
    </row>
    <row r="5" spans="1:12" x14ac:dyDescent="0.3">
      <c r="B5" s="23">
        <v>1002</v>
      </c>
      <c r="C5" s="29" t="s">
        <v>46</v>
      </c>
      <c r="D5" s="29" t="s">
        <v>47</v>
      </c>
      <c r="E5" s="29" t="s">
        <v>48</v>
      </c>
      <c r="F5" s="23">
        <v>20</v>
      </c>
      <c r="G5" s="23">
        <v>10</v>
      </c>
      <c r="H5" s="24">
        <v>45444</v>
      </c>
      <c r="I5">
        <f t="shared" ref="I5:I53" si="0">PRODUCT(F5,G5)</f>
        <v>200</v>
      </c>
    </row>
    <row r="6" spans="1:12" x14ac:dyDescent="0.3">
      <c r="B6" s="23">
        <v>1003</v>
      </c>
      <c r="C6" s="29" t="s">
        <v>49</v>
      </c>
      <c r="D6" s="29" t="s">
        <v>50</v>
      </c>
      <c r="E6" s="29" t="s">
        <v>51</v>
      </c>
      <c r="F6" s="23">
        <v>15</v>
      </c>
      <c r="G6" s="23">
        <v>25</v>
      </c>
      <c r="H6" s="24">
        <v>45474</v>
      </c>
      <c r="I6">
        <f t="shared" si="0"/>
        <v>375</v>
      </c>
    </row>
    <row r="7" spans="1:12" x14ac:dyDescent="0.3">
      <c r="B7" s="23">
        <v>1004</v>
      </c>
      <c r="C7" s="29" t="s">
        <v>52</v>
      </c>
      <c r="D7" s="29" t="s">
        <v>53</v>
      </c>
      <c r="E7" s="29" t="s">
        <v>45</v>
      </c>
      <c r="F7" s="23">
        <v>5</v>
      </c>
      <c r="G7" s="23">
        <v>50</v>
      </c>
      <c r="H7" s="24">
        <v>45505</v>
      </c>
      <c r="I7">
        <f t="shared" si="0"/>
        <v>250</v>
      </c>
    </row>
    <row r="8" spans="1:12" x14ac:dyDescent="0.3">
      <c r="B8" s="23">
        <v>1005</v>
      </c>
      <c r="C8" s="29" t="s">
        <v>54</v>
      </c>
      <c r="D8" s="29" t="s">
        <v>44</v>
      </c>
      <c r="E8" s="29" t="s">
        <v>55</v>
      </c>
      <c r="F8" s="23">
        <v>30</v>
      </c>
      <c r="G8" s="23">
        <v>5</v>
      </c>
      <c r="H8" s="24">
        <v>45566</v>
      </c>
      <c r="I8">
        <f t="shared" si="0"/>
        <v>150</v>
      </c>
    </row>
    <row r="9" spans="1:12" x14ac:dyDescent="0.3">
      <c r="B9" s="23">
        <v>1006</v>
      </c>
      <c r="C9" s="29" t="s">
        <v>56</v>
      </c>
      <c r="D9" s="29" t="s">
        <v>47</v>
      </c>
      <c r="E9" s="29" t="s">
        <v>45</v>
      </c>
      <c r="F9" s="23">
        <v>12</v>
      </c>
      <c r="G9" s="23">
        <v>50</v>
      </c>
      <c r="H9" s="24">
        <v>45597</v>
      </c>
      <c r="I9">
        <f t="shared" si="0"/>
        <v>600</v>
      </c>
    </row>
    <row r="10" spans="1:12" x14ac:dyDescent="0.3">
      <c r="B10" s="23">
        <v>1007</v>
      </c>
      <c r="C10" s="29" t="s">
        <v>57</v>
      </c>
      <c r="D10" s="29" t="s">
        <v>50</v>
      </c>
      <c r="E10" s="29" t="s">
        <v>58</v>
      </c>
      <c r="F10" s="23">
        <v>25</v>
      </c>
      <c r="G10" s="23">
        <v>8</v>
      </c>
      <c r="H10" s="23" t="s">
        <v>102</v>
      </c>
      <c r="I10">
        <f t="shared" si="0"/>
        <v>200</v>
      </c>
    </row>
    <row r="11" spans="1:12" x14ac:dyDescent="0.3">
      <c r="B11" s="23">
        <v>1008</v>
      </c>
      <c r="C11" s="29" t="s">
        <v>59</v>
      </c>
      <c r="D11" s="29" t="s">
        <v>53</v>
      </c>
      <c r="E11" s="29" t="s">
        <v>48</v>
      </c>
      <c r="F11" s="23">
        <v>18</v>
      </c>
      <c r="G11" s="23">
        <v>10</v>
      </c>
      <c r="H11" s="23" t="s">
        <v>103</v>
      </c>
      <c r="I11">
        <f t="shared" si="0"/>
        <v>180</v>
      </c>
    </row>
    <row r="12" spans="1:12" x14ac:dyDescent="0.3">
      <c r="B12" s="23">
        <v>1009</v>
      </c>
      <c r="C12" s="29" t="s">
        <v>60</v>
      </c>
      <c r="D12" s="29" t="s">
        <v>44</v>
      </c>
      <c r="E12" s="29" t="s">
        <v>51</v>
      </c>
      <c r="F12" s="23">
        <v>22</v>
      </c>
      <c r="G12" s="23">
        <v>25</v>
      </c>
      <c r="H12" s="23" t="s">
        <v>104</v>
      </c>
      <c r="I12">
        <f t="shared" si="0"/>
        <v>550</v>
      </c>
    </row>
    <row r="13" spans="1:12" x14ac:dyDescent="0.3">
      <c r="B13" s="23">
        <v>1010</v>
      </c>
      <c r="C13" s="29" t="s">
        <v>61</v>
      </c>
      <c r="D13" s="29" t="s">
        <v>47</v>
      </c>
      <c r="E13" s="29" t="s">
        <v>45</v>
      </c>
      <c r="F13" s="23">
        <v>8</v>
      </c>
      <c r="G13" s="23">
        <v>50</v>
      </c>
      <c r="H13" s="23" t="s">
        <v>105</v>
      </c>
      <c r="I13">
        <f t="shared" si="0"/>
        <v>400</v>
      </c>
    </row>
    <row r="14" spans="1:12" x14ac:dyDescent="0.3">
      <c r="B14" s="23">
        <v>1011</v>
      </c>
      <c r="C14" s="29" t="s">
        <v>62</v>
      </c>
      <c r="D14" s="29" t="s">
        <v>50</v>
      </c>
      <c r="E14" s="29" t="s">
        <v>55</v>
      </c>
      <c r="F14" s="23">
        <v>40</v>
      </c>
      <c r="G14" s="23">
        <v>5</v>
      </c>
      <c r="H14" s="23" t="s">
        <v>106</v>
      </c>
      <c r="I14">
        <f t="shared" si="0"/>
        <v>200</v>
      </c>
    </row>
    <row r="15" spans="1:12" x14ac:dyDescent="0.3">
      <c r="B15" s="23">
        <v>1012</v>
      </c>
      <c r="C15" s="29" t="s">
        <v>63</v>
      </c>
      <c r="D15" s="29" t="s">
        <v>53</v>
      </c>
      <c r="E15" s="29" t="s">
        <v>58</v>
      </c>
      <c r="F15" s="23">
        <v>35</v>
      </c>
      <c r="G15" s="23">
        <v>8</v>
      </c>
      <c r="H15" s="23" t="s">
        <v>107</v>
      </c>
      <c r="I15">
        <f t="shared" si="0"/>
        <v>280</v>
      </c>
    </row>
    <row r="16" spans="1:12" x14ac:dyDescent="0.3">
      <c r="B16" s="23">
        <v>1013</v>
      </c>
      <c r="C16" s="29" t="s">
        <v>64</v>
      </c>
      <c r="D16" s="29" t="s">
        <v>44</v>
      </c>
      <c r="E16" s="29" t="s">
        <v>45</v>
      </c>
      <c r="F16" s="23">
        <v>14</v>
      </c>
      <c r="G16" s="23">
        <v>50</v>
      </c>
      <c r="H16" s="23" t="s">
        <v>108</v>
      </c>
      <c r="I16">
        <f t="shared" si="0"/>
        <v>700</v>
      </c>
    </row>
    <row r="17" spans="2:9" x14ac:dyDescent="0.3">
      <c r="B17" s="23">
        <v>1014</v>
      </c>
      <c r="C17" s="29" t="s">
        <v>65</v>
      </c>
      <c r="D17" s="29" t="s">
        <v>47</v>
      </c>
      <c r="E17" s="29" t="s">
        <v>48</v>
      </c>
      <c r="F17" s="23">
        <v>28</v>
      </c>
      <c r="G17" s="23">
        <v>10</v>
      </c>
      <c r="H17" s="23" t="s">
        <v>109</v>
      </c>
      <c r="I17">
        <f t="shared" si="0"/>
        <v>280</v>
      </c>
    </row>
    <row r="18" spans="2:9" x14ac:dyDescent="0.3">
      <c r="B18" s="23">
        <v>1015</v>
      </c>
      <c r="C18" s="29" t="s">
        <v>66</v>
      </c>
      <c r="D18" s="29" t="s">
        <v>50</v>
      </c>
      <c r="E18" s="29" t="s">
        <v>51</v>
      </c>
      <c r="F18" s="23">
        <v>12</v>
      </c>
      <c r="G18" s="23">
        <v>25</v>
      </c>
      <c r="H18" s="23" t="s">
        <v>110</v>
      </c>
      <c r="I18">
        <f t="shared" si="0"/>
        <v>300</v>
      </c>
    </row>
    <row r="19" spans="2:9" x14ac:dyDescent="0.3">
      <c r="B19" s="23">
        <v>1016</v>
      </c>
      <c r="C19" s="29" t="s">
        <v>67</v>
      </c>
      <c r="D19" s="29" t="s">
        <v>53</v>
      </c>
      <c r="E19" s="29" t="s">
        <v>55</v>
      </c>
      <c r="F19" s="23">
        <v>25</v>
      </c>
      <c r="G19" s="23">
        <v>5</v>
      </c>
      <c r="H19" s="23" t="s">
        <v>111</v>
      </c>
      <c r="I19">
        <f t="shared" si="0"/>
        <v>125</v>
      </c>
    </row>
    <row r="20" spans="2:9" x14ac:dyDescent="0.3">
      <c r="B20" s="23">
        <v>1017</v>
      </c>
      <c r="C20" s="29" t="s">
        <v>68</v>
      </c>
      <c r="D20" s="29" t="s">
        <v>44</v>
      </c>
      <c r="E20" s="29" t="s">
        <v>58</v>
      </c>
      <c r="F20" s="23">
        <v>20</v>
      </c>
      <c r="G20" s="23">
        <v>8</v>
      </c>
      <c r="H20" s="23" t="s">
        <v>112</v>
      </c>
      <c r="I20">
        <f t="shared" si="0"/>
        <v>160</v>
      </c>
    </row>
    <row r="21" spans="2:9" x14ac:dyDescent="0.3">
      <c r="B21" s="23">
        <v>1018</v>
      </c>
      <c r="C21" s="29" t="s">
        <v>69</v>
      </c>
      <c r="D21" s="29" t="s">
        <v>47</v>
      </c>
      <c r="E21" s="29" t="s">
        <v>45</v>
      </c>
      <c r="F21" s="23">
        <v>10</v>
      </c>
      <c r="G21" s="23">
        <v>50</v>
      </c>
      <c r="H21" s="23" t="s">
        <v>113</v>
      </c>
      <c r="I21">
        <f t="shared" si="0"/>
        <v>500</v>
      </c>
    </row>
    <row r="22" spans="2:9" x14ac:dyDescent="0.3">
      <c r="B22" s="23">
        <v>1019</v>
      </c>
      <c r="C22" s="29" t="s">
        <v>70</v>
      </c>
      <c r="D22" s="29" t="s">
        <v>50</v>
      </c>
      <c r="E22" s="29" t="s">
        <v>48</v>
      </c>
      <c r="F22" s="23">
        <v>15</v>
      </c>
      <c r="G22" s="23">
        <v>10</v>
      </c>
      <c r="H22" s="23" t="s">
        <v>114</v>
      </c>
      <c r="I22">
        <f t="shared" si="0"/>
        <v>150</v>
      </c>
    </row>
    <row r="23" spans="2:9" x14ac:dyDescent="0.3">
      <c r="B23" s="23">
        <v>1020</v>
      </c>
      <c r="C23" s="29" t="s">
        <v>71</v>
      </c>
      <c r="D23" s="29" t="s">
        <v>53</v>
      </c>
      <c r="E23" s="29" t="s">
        <v>51</v>
      </c>
      <c r="F23" s="23">
        <v>18</v>
      </c>
      <c r="G23" s="23">
        <v>25</v>
      </c>
      <c r="H23" s="24">
        <v>45293</v>
      </c>
      <c r="I23">
        <f t="shared" si="0"/>
        <v>450</v>
      </c>
    </row>
    <row r="24" spans="2:9" x14ac:dyDescent="0.3">
      <c r="B24" s="23">
        <v>1021</v>
      </c>
      <c r="C24" s="29" t="s">
        <v>72</v>
      </c>
      <c r="D24" s="29" t="s">
        <v>44</v>
      </c>
      <c r="E24" s="29" t="s">
        <v>45</v>
      </c>
      <c r="F24" s="23">
        <v>9</v>
      </c>
      <c r="G24" s="23">
        <v>50</v>
      </c>
      <c r="H24" s="24">
        <v>45324</v>
      </c>
      <c r="I24">
        <f t="shared" si="0"/>
        <v>450</v>
      </c>
    </row>
    <row r="25" spans="2:9" x14ac:dyDescent="0.3">
      <c r="B25" s="23">
        <v>1022</v>
      </c>
      <c r="C25" s="29" t="s">
        <v>73</v>
      </c>
      <c r="D25" s="29" t="s">
        <v>47</v>
      </c>
      <c r="E25" s="29" t="s">
        <v>55</v>
      </c>
      <c r="F25" s="23">
        <v>35</v>
      </c>
      <c r="G25" s="23">
        <v>5</v>
      </c>
      <c r="H25" s="24">
        <v>45353</v>
      </c>
      <c r="I25">
        <f t="shared" si="0"/>
        <v>175</v>
      </c>
    </row>
    <row r="26" spans="2:9" x14ac:dyDescent="0.3">
      <c r="B26" s="23">
        <v>1023</v>
      </c>
      <c r="C26" s="29" t="s">
        <v>74</v>
      </c>
      <c r="D26" s="29" t="s">
        <v>50</v>
      </c>
      <c r="E26" s="29" t="s">
        <v>58</v>
      </c>
      <c r="F26" s="23">
        <v>30</v>
      </c>
      <c r="G26" s="23">
        <v>8</v>
      </c>
      <c r="H26" s="24">
        <v>45384</v>
      </c>
      <c r="I26">
        <f t="shared" si="0"/>
        <v>240</v>
      </c>
    </row>
    <row r="27" spans="2:9" x14ac:dyDescent="0.3">
      <c r="B27" s="23">
        <v>1024</v>
      </c>
      <c r="C27" s="29" t="s">
        <v>75</v>
      </c>
      <c r="D27" s="29" t="s">
        <v>53</v>
      </c>
      <c r="E27" s="29" t="s">
        <v>45</v>
      </c>
      <c r="F27" s="23">
        <v>11</v>
      </c>
      <c r="G27" s="23">
        <v>50</v>
      </c>
      <c r="H27" s="24">
        <v>45445</v>
      </c>
      <c r="I27">
        <f t="shared" si="0"/>
        <v>550</v>
      </c>
    </row>
    <row r="28" spans="2:9" x14ac:dyDescent="0.3">
      <c r="B28" s="23">
        <v>1025</v>
      </c>
      <c r="C28" s="29" t="s">
        <v>76</v>
      </c>
      <c r="D28" s="29" t="s">
        <v>44</v>
      </c>
      <c r="E28" s="29" t="s">
        <v>48</v>
      </c>
      <c r="F28" s="23">
        <v>14</v>
      </c>
      <c r="G28" s="23">
        <v>10</v>
      </c>
      <c r="H28" s="24">
        <v>45475</v>
      </c>
      <c r="I28">
        <f t="shared" si="0"/>
        <v>140</v>
      </c>
    </row>
    <row r="29" spans="2:9" x14ac:dyDescent="0.3">
      <c r="B29" s="23">
        <v>1026</v>
      </c>
      <c r="C29" s="29" t="s">
        <v>77</v>
      </c>
      <c r="D29" s="29" t="s">
        <v>47</v>
      </c>
      <c r="E29" s="29" t="s">
        <v>51</v>
      </c>
      <c r="F29" s="23">
        <v>16</v>
      </c>
      <c r="G29" s="23">
        <v>25</v>
      </c>
      <c r="H29" s="24">
        <v>45506</v>
      </c>
      <c r="I29">
        <f t="shared" si="0"/>
        <v>400</v>
      </c>
    </row>
    <row r="30" spans="2:9" x14ac:dyDescent="0.3">
      <c r="B30" s="23">
        <v>1027</v>
      </c>
      <c r="C30" s="29" t="s">
        <v>78</v>
      </c>
      <c r="D30" s="29" t="s">
        <v>50</v>
      </c>
      <c r="E30" s="29" t="s">
        <v>55</v>
      </c>
      <c r="F30" s="23">
        <v>22</v>
      </c>
      <c r="G30" s="23">
        <v>5</v>
      </c>
      <c r="H30" s="24">
        <v>45537</v>
      </c>
      <c r="I30">
        <f t="shared" si="0"/>
        <v>110</v>
      </c>
    </row>
    <row r="31" spans="2:9" x14ac:dyDescent="0.3">
      <c r="B31" s="23">
        <v>1028</v>
      </c>
      <c r="C31" s="29" t="s">
        <v>79</v>
      </c>
      <c r="D31" s="29" t="s">
        <v>53</v>
      </c>
      <c r="E31" s="29" t="s">
        <v>58</v>
      </c>
      <c r="F31" s="23">
        <v>27</v>
      </c>
      <c r="G31" s="23">
        <v>8</v>
      </c>
      <c r="H31" s="24">
        <v>45567</v>
      </c>
      <c r="I31">
        <f t="shared" si="0"/>
        <v>216</v>
      </c>
    </row>
    <row r="32" spans="2:9" x14ac:dyDescent="0.3">
      <c r="B32" s="23">
        <v>1029</v>
      </c>
      <c r="C32" s="29" t="s">
        <v>80</v>
      </c>
      <c r="D32" s="29" t="s">
        <v>44</v>
      </c>
      <c r="E32" s="29" t="s">
        <v>45</v>
      </c>
      <c r="F32" s="23">
        <v>13</v>
      </c>
      <c r="G32" s="23">
        <v>50</v>
      </c>
      <c r="H32" s="24">
        <v>45628</v>
      </c>
      <c r="I32">
        <f t="shared" si="0"/>
        <v>650</v>
      </c>
    </row>
    <row r="33" spans="2:9" x14ac:dyDescent="0.3">
      <c r="B33" s="23">
        <v>1030</v>
      </c>
      <c r="C33" s="29" t="s">
        <v>81</v>
      </c>
      <c r="D33" s="29" t="s">
        <v>47</v>
      </c>
      <c r="E33" s="29" t="s">
        <v>48</v>
      </c>
      <c r="F33" s="23">
        <v>32</v>
      </c>
      <c r="G33" s="23">
        <v>10</v>
      </c>
      <c r="H33" s="23" t="s">
        <v>115</v>
      </c>
      <c r="I33">
        <f t="shared" si="0"/>
        <v>320</v>
      </c>
    </row>
    <row r="34" spans="2:9" x14ac:dyDescent="0.3">
      <c r="B34" s="23">
        <v>1031</v>
      </c>
      <c r="C34" s="29" t="s">
        <v>82</v>
      </c>
      <c r="D34" s="29" t="s">
        <v>50</v>
      </c>
      <c r="E34" s="29" t="s">
        <v>51</v>
      </c>
      <c r="F34" s="23">
        <v>10</v>
      </c>
      <c r="G34" s="23">
        <v>25</v>
      </c>
      <c r="H34" s="23" t="s">
        <v>116</v>
      </c>
      <c r="I34">
        <f t="shared" si="0"/>
        <v>250</v>
      </c>
    </row>
    <row r="35" spans="2:9" x14ac:dyDescent="0.3">
      <c r="B35" s="23">
        <v>1032</v>
      </c>
      <c r="C35" s="29" t="s">
        <v>83</v>
      </c>
      <c r="D35" s="29" t="s">
        <v>53</v>
      </c>
      <c r="E35" s="29" t="s">
        <v>55</v>
      </c>
      <c r="F35" s="23">
        <v>18</v>
      </c>
      <c r="G35" s="23">
        <v>5</v>
      </c>
      <c r="H35" s="23" t="s">
        <v>117</v>
      </c>
      <c r="I35">
        <f t="shared" si="0"/>
        <v>90</v>
      </c>
    </row>
    <row r="36" spans="2:9" x14ac:dyDescent="0.3">
      <c r="B36" s="23">
        <v>1033</v>
      </c>
      <c r="C36" s="29" t="s">
        <v>84</v>
      </c>
      <c r="D36" s="29" t="s">
        <v>44</v>
      </c>
      <c r="E36" s="29" t="s">
        <v>58</v>
      </c>
      <c r="F36" s="23">
        <v>22</v>
      </c>
      <c r="G36" s="23">
        <v>8</v>
      </c>
      <c r="H36" s="23" t="s">
        <v>118</v>
      </c>
      <c r="I36">
        <f t="shared" si="0"/>
        <v>176</v>
      </c>
    </row>
    <row r="37" spans="2:9" x14ac:dyDescent="0.3">
      <c r="B37" s="23">
        <v>1034</v>
      </c>
      <c r="C37" s="29" t="s">
        <v>85</v>
      </c>
      <c r="D37" s="29" t="s">
        <v>47</v>
      </c>
      <c r="E37" s="29" t="s">
        <v>45</v>
      </c>
      <c r="F37" s="23">
        <v>17</v>
      </c>
      <c r="G37" s="23">
        <v>50</v>
      </c>
      <c r="H37" s="23" t="s">
        <v>119</v>
      </c>
      <c r="I37">
        <f t="shared" si="0"/>
        <v>850</v>
      </c>
    </row>
    <row r="38" spans="2:9" x14ac:dyDescent="0.3">
      <c r="B38" s="23">
        <v>1035</v>
      </c>
      <c r="C38" s="29" t="s">
        <v>86</v>
      </c>
      <c r="D38" s="29" t="s">
        <v>50</v>
      </c>
      <c r="E38" s="29" t="s">
        <v>48</v>
      </c>
      <c r="F38" s="23">
        <v>19</v>
      </c>
      <c r="G38" s="23">
        <v>10</v>
      </c>
      <c r="H38" s="23" t="s">
        <v>120</v>
      </c>
      <c r="I38">
        <f t="shared" si="0"/>
        <v>190</v>
      </c>
    </row>
    <row r="39" spans="2:9" x14ac:dyDescent="0.3">
      <c r="B39" s="23">
        <v>1036</v>
      </c>
      <c r="C39" s="29" t="s">
        <v>87</v>
      </c>
      <c r="D39" s="29" t="s">
        <v>53</v>
      </c>
      <c r="E39" s="29" t="s">
        <v>51</v>
      </c>
      <c r="F39" s="23">
        <v>15</v>
      </c>
      <c r="G39" s="23">
        <v>25</v>
      </c>
      <c r="H39" s="23" t="s">
        <v>121</v>
      </c>
      <c r="I39">
        <f t="shared" si="0"/>
        <v>375</v>
      </c>
    </row>
    <row r="40" spans="2:9" x14ac:dyDescent="0.3">
      <c r="B40" s="23">
        <v>1037</v>
      </c>
      <c r="C40" s="29" t="s">
        <v>88</v>
      </c>
      <c r="D40" s="29" t="s">
        <v>44</v>
      </c>
      <c r="E40" s="29" t="s">
        <v>55</v>
      </c>
      <c r="F40" s="23">
        <v>28</v>
      </c>
      <c r="G40" s="23">
        <v>5</v>
      </c>
      <c r="H40" s="23" t="s">
        <v>122</v>
      </c>
      <c r="I40">
        <f t="shared" si="0"/>
        <v>140</v>
      </c>
    </row>
    <row r="41" spans="2:9" x14ac:dyDescent="0.3">
      <c r="B41" s="23">
        <v>1038</v>
      </c>
      <c r="C41" s="29" t="s">
        <v>89</v>
      </c>
      <c r="D41" s="29" t="s">
        <v>47</v>
      </c>
      <c r="E41" s="29" t="s">
        <v>58</v>
      </c>
      <c r="F41" s="23">
        <v>24</v>
      </c>
      <c r="G41" s="23">
        <v>8</v>
      </c>
      <c r="H41" s="23" t="s">
        <v>123</v>
      </c>
      <c r="I41">
        <f t="shared" si="0"/>
        <v>192</v>
      </c>
    </row>
    <row r="42" spans="2:9" x14ac:dyDescent="0.3">
      <c r="B42" s="23">
        <v>1039</v>
      </c>
      <c r="C42" s="29" t="s">
        <v>90</v>
      </c>
      <c r="D42" s="29" t="s">
        <v>50</v>
      </c>
      <c r="E42" s="29" t="s">
        <v>45</v>
      </c>
      <c r="F42" s="23">
        <v>16</v>
      </c>
      <c r="G42" s="23">
        <v>50</v>
      </c>
      <c r="H42" s="23" t="s">
        <v>124</v>
      </c>
      <c r="I42">
        <f t="shared" si="0"/>
        <v>800</v>
      </c>
    </row>
    <row r="43" spans="2:9" x14ac:dyDescent="0.3">
      <c r="B43" s="23">
        <v>1040</v>
      </c>
      <c r="C43" s="29" t="s">
        <v>91</v>
      </c>
      <c r="D43" s="29" t="s">
        <v>53</v>
      </c>
      <c r="E43" s="29" t="s">
        <v>48</v>
      </c>
      <c r="F43" s="23">
        <v>27</v>
      </c>
      <c r="G43" s="23">
        <v>10</v>
      </c>
      <c r="H43" s="23" t="s">
        <v>125</v>
      </c>
      <c r="I43">
        <f t="shared" si="0"/>
        <v>270</v>
      </c>
    </row>
    <row r="44" spans="2:9" x14ac:dyDescent="0.3">
      <c r="B44" s="23">
        <v>1041</v>
      </c>
      <c r="C44" s="29" t="s">
        <v>92</v>
      </c>
      <c r="D44" s="29" t="s">
        <v>44</v>
      </c>
      <c r="E44" s="29" t="s">
        <v>51</v>
      </c>
      <c r="F44" s="23">
        <v>21</v>
      </c>
      <c r="G44" s="23">
        <v>25</v>
      </c>
      <c r="H44" s="23" t="s">
        <v>126</v>
      </c>
      <c r="I44">
        <f t="shared" si="0"/>
        <v>525</v>
      </c>
    </row>
    <row r="45" spans="2:9" x14ac:dyDescent="0.3">
      <c r="B45" s="23">
        <v>1042</v>
      </c>
      <c r="C45" s="29" t="s">
        <v>93</v>
      </c>
      <c r="D45" s="29" t="s">
        <v>47</v>
      </c>
      <c r="E45" s="29" t="s">
        <v>55</v>
      </c>
      <c r="F45" s="23">
        <v>30</v>
      </c>
      <c r="G45" s="23">
        <v>5</v>
      </c>
      <c r="H45" s="23" t="s">
        <v>127</v>
      </c>
      <c r="I45">
        <f t="shared" si="0"/>
        <v>150</v>
      </c>
    </row>
    <row r="46" spans="2:9" x14ac:dyDescent="0.3">
      <c r="B46" s="23">
        <v>1043</v>
      </c>
      <c r="C46" s="29" t="s">
        <v>94</v>
      </c>
      <c r="D46" s="29" t="s">
        <v>50</v>
      </c>
      <c r="E46" s="29" t="s">
        <v>58</v>
      </c>
      <c r="F46" s="23">
        <v>26</v>
      </c>
      <c r="G46" s="23">
        <v>8</v>
      </c>
      <c r="H46" s="24">
        <v>45294</v>
      </c>
      <c r="I46">
        <f t="shared" si="0"/>
        <v>208</v>
      </c>
    </row>
    <row r="47" spans="2:9" x14ac:dyDescent="0.3">
      <c r="B47" s="23">
        <v>1044</v>
      </c>
      <c r="C47" s="29" t="s">
        <v>95</v>
      </c>
      <c r="D47" s="29" t="s">
        <v>53</v>
      </c>
      <c r="E47" s="29" t="s">
        <v>45</v>
      </c>
      <c r="F47" s="23">
        <v>14</v>
      </c>
      <c r="G47" s="23">
        <v>50</v>
      </c>
      <c r="H47" s="24">
        <v>45325</v>
      </c>
      <c r="I47">
        <f t="shared" si="0"/>
        <v>700</v>
      </c>
    </row>
    <row r="48" spans="2:9" x14ac:dyDescent="0.3">
      <c r="B48" s="23">
        <v>1045</v>
      </c>
      <c r="C48" s="29" t="s">
        <v>96</v>
      </c>
      <c r="D48" s="29" t="s">
        <v>44</v>
      </c>
      <c r="E48" s="29" t="s">
        <v>48</v>
      </c>
      <c r="F48" s="23">
        <v>20</v>
      </c>
      <c r="G48" s="23">
        <v>10</v>
      </c>
      <c r="H48" s="24">
        <v>45354</v>
      </c>
      <c r="I48">
        <f t="shared" si="0"/>
        <v>200</v>
      </c>
    </row>
    <row r="49" spans="2:9" x14ac:dyDescent="0.3">
      <c r="B49" s="23">
        <v>1046</v>
      </c>
      <c r="C49" s="29" t="s">
        <v>97</v>
      </c>
      <c r="D49" s="29" t="s">
        <v>47</v>
      </c>
      <c r="E49" s="29" t="s">
        <v>51</v>
      </c>
      <c r="F49" s="23">
        <v>17</v>
      </c>
      <c r="G49" s="23">
        <v>25</v>
      </c>
      <c r="H49" s="24">
        <v>45385</v>
      </c>
      <c r="I49">
        <f t="shared" si="0"/>
        <v>425</v>
      </c>
    </row>
    <row r="50" spans="2:9" x14ac:dyDescent="0.3">
      <c r="B50" s="23">
        <v>1047</v>
      </c>
      <c r="C50" s="29" t="s">
        <v>98</v>
      </c>
      <c r="D50" s="29" t="s">
        <v>50</v>
      </c>
      <c r="E50" s="29" t="s">
        <v>55</v>
      </c>
      <c r="F50" s="23">
        <v>19</v>
      </c>
      <c r="G50" s="23">
        <v>5</v>
      </c>
      <c r="H50" s="24">
        <v>45415</v>
      </c>
      <c r="I50">
        <f t="shared" si="0"/>
        <v>95</v>
      </c>
    </row>
    <row r="51" spans="2:9" x14ac:dyDescent="0.3">
      <c r="B51" s="23">
        <v>1048</v>
      </c>
      <c r="C51" s="29" t="s">
        <v>99</v>
      </c>
      <c r="D51" s="29" t="s">
        <v>53</v>
      </c>
      <c r="E51" s="29" t="s">
        <v>58</v>
      </c>
      <c r="F51" s="23">
        <v>32</v>
      </c>
      <c r="G51" s="23">
        <v>8</v>
      </c>
      <c r="H51" s="24">
        <v>45446</v>
      </c>
      <c r="I51">
        <f t="shared" si="0"/>
        <v>256</v>
      </c>
    </row>
    <row r="52" spans="2:9" x14ac:dyDescent="0.3">
      <c r="B52" s="23">
        <v>1049</v>
      </c>
      <c r="C52" s="29" t="s">
        <v>100</v>
      </c>
      <c r="D52" s="29" t="s">
        <v>44</v>
      </c>
      <c r="E52" s="29" t="s">
        <v>45</v>
      </c>
      <c r="F52" s="23">
        <v>12</v>
      </c>
      <c r="G52" s="23">
        <v>50</v>
      </c>
      <c r="H52" s="24">
        <v>45476</v>
      </c>
      <c r="I52">
        <f t="shared" si="0"/>
        <v>600</v>
      </c>
    </row>
    <row r="53" spans="2:9" x14ac:dyDescent="0.3">
      <c r="B53" s="23">
        <v>1050</v>
      </c>
      <c r="C53" s="29" t="s">
        <v>101</v>
      </c>
      <c r="D53" s="29" t="s">
        <v>47</v>
      </c>
      <c r="E53" s="29" t="s">
        <v>48</v>
      </c>
      <c r="F53" s="23">
        <v>25</v>
      </c>
      <c r="G53" s="23">
        <v>10</v>
      </c>
      <c r="H53" s="24">
        <v>45507</v>
      </c>
      <c r="I53">
        <f t="shared" si="0"/>
        <v>250</v>
      </c>
    </row>
    <row r="54" spans="2:9" x14ac:dyDescent="0.3">
      <c r="B54" s="29"/>
      <c r="C54" s="29"/>
      <c r="D54" s="29"/>
      <c r="E54" s="29"/>
      <c r="F54" s="29"/>
      <c r="G54" s="29"/>
      <c r="H54" s="29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QUESTION1</vt:lpstr>
      <vt:lpstr>QUESTION2</vt:lpstr>
      <vt:lpstr>QUESTION3</vt:lpstr>
      <vt:lpstr>QUESTION4</vt:lpstr>
      <vt:lpstr>QUESTION5</vt:lpstr>
      <vt:lpstr>QUESTION6</vt:lpstr>
      <vt:lpstr>QUESTION7</vt:lpstr>
      <vt:lpstr>QUESTION8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prachiprempoudyal.10@gmail.com</dc:creator>
  <cp:lastModifiedBy>prachiprempoudyal.10@gmail.com</cp:lastModifiedBy>
  <dcterms:created xsi:type="dcterms:W3CDTF">2026-01-12T06:18:09Z</dcterms:created>
  <dcterms:modified xsi:type="dcterms:W3CDTF">2026-02-13T07:12:28Z</dcterms:modified>
</cp:coreProperties>
</file>